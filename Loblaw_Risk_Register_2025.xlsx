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vber\Downloads\"/>
    </mc:Choice>
  </mc:AlternateContent>
  <xr:revisionPtr revIDLastSave="0" documentId="13_ncr:1_{721F7E9C-245E-45F3-B5E5-B35CD3A34F32}" xr6:coauthVersionLast="47" xr6:coauthVersionMax="47" xr10:uidLastSave="{00000000-0000-0000-0000-000000000000}"/>
  <bookViews>
    <workbookView xWindow="-108" yWindow="-108" windowWidth="23256" windowHeight="12456" tabRatio="500" activeTab="1" xr2:uid="{00000000-000D-0000-FFFF-FFFF00000000}"/>
  </bookViews>
  <sheets>
    <sheet name="Cover" sheetId="4" r:id="rId1"/>
    <sheet name="Risk Register" sheetId="1" r:id="rId2"/>
    <sheet name="Scoring Legend" sheetId="2" r:id="rId3"/>
    <sheet name="Summary" sheetId="3" r:id="rId4"/>
  </sheets>
  <definedNames>
    <definedName name="_xlnm._FilterDatabase" localSheetId="1" hidden="1">'Risk Register'!$A$4:$P$30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3" l="1"/>
  <c r="H30" i="1"/>
  <c r="I30" i="1" s="1"/>
  <c r="H29" i="1"/>
  <c r="I29" i="1" s="1"/>
  <c r="H28" i="1"/>
  <c r="I28" i="1" s="1"/>
  <c r="H27" i="1"/>
  <c r="I27" i="1" s="1"/>
  <c r="H26" i="1"/>
  <c r="I26" i="1" s="1"/>
  <c r="H25" i="1"/>
  <c r="I25" i="1" s="1"/>
  <c r="I24" i="1"/>
  <c r="H24" i="1"/>
  <c r="H23" i="1"/>
  <c r="I23" i="1" s="1"/>
  <c r="I22" i="1"/>
  <c r="H22" i="1"/>
  <c r="H21" i="1"/>
  <c r="I21" i="1" s="1"/>
  <c r="H20" i="1"/>
  <c r="I20" i="1" s="1"/>
  <c r="H19" i="1"/>
  <c r="I19" i="1" s="1"/>
  <c r="I18" i="1"/>
  <c r="H18" i="1"/>
  <c r="H17" i="1"/>
  <c r="I17" i="1" s="1"/>
  <c r="I16" i="1"/>
  <c r="H16" i="1"/>
  <c r="H15" i="1"/>
  <c r="I15" i="1" s="1"/>
  <c r="H14" i="1"/>
  <c r="I14" i="1" s="1"/>
  <c r="H13" i="1"/>
  <c r="I13" i="1" s="1"/>
  <c r="H12" i="1"/>
  <c r="I12" i="1" s="1"/>
  <c r="H11" i="1"/>
  <c r="I11" i="1" s="1"/>
  <c r="H10" i="1"/>
  <c r="I10" i="1" s="1"/>
  <c r="H9" i="1"/>
  <c r="I9" i="1" s="1"/>
  <c r="H8" i="1"/>
  <c r="I8" i="1" s="1"/>
  <c r="H7" i="1"/>
  <c r="I7" i="1" s="1"/>
  <c r="H6" i="1"/>
  <c r="I6" i="1" s="1"/>
  <c r="H5" i="1"/>
  <c r="I5" i="1" s="1"/>
  <c r="B9" i="3" l="1"/>
  <c r="B6" i="3"/>
  <c r="B8" i="3"/>
  <c r="B7" i="3"/>
  <c r="B10" i="3" l="1"/>
  <c r="C6" i="3" s="1"/>
  <c r="C7" i="3" l="1"/>
  <c r="C9" i="3"/>
  <c r="C8" i="3"/>
</calcChain>
</file>

<file path=xl/sharedStrings.xml><?xml version="1.0" encoding="utf-8"?>
<sst xmlns="http://schemas.openxmlformats.org/spreadsheetml/2006/main" count="451" uniqueCount="354">
  <si>
    <t>Risk
ID</t>
  </si>
  <si>
    <t>Risk Name</t>
  </si>
  <si>
    <t>Category</t>
  </si>
  <si>
    <t>Sub-Category</t>
  </si>
  <si>
    <t>Risk Description
(Analyst Summary — from AR Section 11)</t>
  </si>
  <si>
    <t>Likelihood
(1–5)</t>
  </si>
  <si>
    <t>Impact
(1–5)</t>
  </si>
  <si>
    <t>Risk
Score</t>
  </si>
  <si>
    <t>Risk
Level</t>
  </si>
  <si>
    <t>Risk Owner</t>
  </si>
  <si>
    <t>Existing Controls / Mitigations</t>
  </si>
  <si>
    <t>Control
Source</t>
  </si>
  <si>
    <t>Risk
Response</t>
  </si>
  <si>
    <t>AR Page
Ref.</t>
  </si>
  <si>
    <t>Key Quote from Annual Report</t>
  </si>
  <si>
    <t>Analyst Notes</t>
  </si>
  <si>
    <t>R-01</t>
  </si>
  <si>
    <t>Economic Conditions</t>
  </si>
  <si>
    <t>Operating</t>
  </si>
  <si>
    <t>Macro-Economic</t>
  </si>
  <si>
    <t>Revenue and profitability may be impacted by inflation, tariffs, supplier cost increases, employment levels, household debt, political uncertainty, natural disasters, pandemics, and interest/exchange rate changes. These factors shift consumer spending and store/product choice.</t>
  </si>
  <si>
    <t>Finance &amp; Strategy</t>
  </si>
  <si>
    <t>Loblaw.ca — 2025 Capital Investment Announcement (Feb 2025)</t>
  </si>
  <si>
    <t>Mitigate</t>
  </si>
  <si>
    <t>p.39</t>
  </si>
  <si>
    <t>"These economic conditions may adversely impact demand for the Company's products and services which could adversely affect the Company's operations, financial performance, brand or reputation."</t>
  </si>
  <si>
    <t>R-02</t>
  </si>
  <si>
    <t>Cybersecurity, Privacy &amp; Data Breaches</t>
  </si>
  <si>
    <t>Information Technology</t>
  </si>
  <si>
    <t>Company collects payment card, personal health, and financial data across stores, PC Optimum, and PC Money. Cyberattacks are increasing in frequency and sophistication. A breach could cause regulatory penalties, litigation, and reputational harm.</t>
  </si>
  <si>
    <t>IT / Security</t>
  </si>
  <si>
    <t>Security measures implemented including employee training, monitoring and testing, maintenance of protective systems and contingency plans. Ongoing strategic investments in cyber defence. Security processes, protocols and standards applied to all third-party service providers.</t>
  </si>
  <si>
    <t>Annual Report 2025, Section 11</t>
  </si>
  <si>
    <t>p.39–40</t>
  </si>
  <si>
    <t>"The Company is regularly subject to cyberattacks and such attempts are occurring more frequently, are constantly evolving in nature and are becoming more sophisticated."</t>
  </si>
  <si>
    <t>Word 'regularly' + 'more frequently' = Likelihood 4. Enterprise-wide data scope (payment, health, loyalty) = Impact 5. Controls explicitly stated in the Annual Report p.40.</t>
  </si>
  <si>
    <t>R-03</t>
  </si>
  <si>
    <t>IT Systems Implementations &amp; Data Management</t>
  </si>
  <si>
    <t>Operations depend on continuous technology systems. Migrating from legacy systems to new platforms risks data accuracy loss, operational disruption, and potential financial losses if implementation fails or is disrupted mid-migration.</t>
  </si>
  <si>
    <t>IT / Operations</t>
  </si>
  <si>
    <t>1.2 million sq ft fully automated distribution centre in East Gwillimbury, ON successfully ramped in 2025 as confirmed in Q4 results. Second automated DC under construction in Caledon, ON.</t>
  </si>
  <si>
    <t>Loblaw Q4 2025 News Release (Feb 2026)</t>
  </si>
  <si>
    <t>p.40–41</t>
  </si>
  <si>
    <t>"Failure to successfully migrate from legacy systems to new IT systems...could result in a lack of accurate data to effectively manage day-to-day operations of the business...causing significant disruptions."</t>
  </si>
  <si>
    <t>Active multi-year modernization underway. Likelihood 3 (possible, not certain). 'Significant disruptions' = Impact 4.</t>
  </si>
  <si>
    <t>R-04</t>
  </si>
  <si>
    <t>Healthcare Reform</t>
  </si>
  <si>
    <t>Regulatory / Pharmacy</t>
  </si>
  <si>
    <t>Prescription drug sales are a significant revenue source. Federal/provincial pharmacare reform, drug pricing changes, and reimbursement reductions could materially reduce pharmacy revenue and profitability.</t>
  </si>
  <si>
    <t>Pharmacy / Regulatory Affairs</t>
  </si>
  <si>
    <t>Connected Healthcare strategy: 97 new pharmacy care clinics added in 2025 across Canada. Expanded pharmacist scope of practice services. Specialty Rx revenue growth through Shoppers Drug Mart Specialty Health Network. Revenue diversification beyond pharmacare reimbursements into healthcare services.</t>
  </si>
  <si>
    <t>p.41–42</t>
  </si>
  <si>
    <t>"Changes impacting pharmacy reimbursement programs and prescription drug pricing...are expected to continue to put downward pressure on the value of prescription drug sales. These changes may have a material adverse effect."</t>
  </si>
  <si>
    <t>'Expected to continue' = Likelihood 4. 'Material adverse effect' on a 'significant portion of sales and profits' = Impact 4.</t>
  </si>
  <si>
    <t>R-05</t>
  </si>
  <si>
    <t>Distribution &amp; Supply Chain</t>
  </si>
  <si>
    <t>Operations</t>
  </si>
  <si>
    <t>Customer demand fulfilment depends on logistics and transport. Disruptions from fire, severe weather, labour disputes, technology failures, or automation breakdowns could interrupt product supply and harm store availability.</t>
  </si>
  <si>
    <t>Supply Chain / Operations</t>
  </si>
  <si>
    <t>Loblaw Annual Information Form 2024</t>
  </si>
  <si>
    <t>p.42</t>
  </si>
  <si>
    <t>"The Company's distribution and supply chain could be negatively affected by unforeseen disruptions due to fire, severe weather conditions, natural disasters or other catastrophic events, public health events, labour disagreements, disruptions to critical technology systems."</t>
  </si>
  <si>
    <t>Broad list of triggers = Likelihood 3. Product unavailability at scale = Impact 4.</t>
  </si>
  <si>
    <t>R-06</t>
  </si>
  <si>
    <t>Associate-Owned Drug Store Network</t>
  </si>
  <si>
    <t>Third-Party / Franchise</t>
  </si>
  <si>
    <t>Shoppers Drug Mart brand and revenues are closely tied to Associate-owned store performance. Associates are independent operators; their non-compliance or financial failure could harm Company reputation and fee income.</t>
  </si>
  <si>
    <t>Franchise Operations</t>
  </si>
  <si>
    <t>Associates are independent business operators that have entered into agreements with the Company to own and operate retail stores in accordance with prescribed procedures and operational standards. Loblaw relies on Associates to successfully operate, manage and execute retail programs and strategies.</t>
  </si>
  <si>
    <t>"The success of the Company and the reputation of its brands are closely tied to the performance of the Shoppers Drug Mart Associate-owned drug stores."</t>
  </si>
  <si>
    <t>Revenue dependency on independent operators. Moderate likelihood and impact given existing contractual controls.</t>
  </si>
  <si>
    <t>R-07</t>
  </si>
  <si>
    <t>Colleague Attraction, Development &amp; Succession</t>
  </si>
  <si>
    <t>Human Resources</t>
  </si>
  <si>
    <t>Failure to attract and retain qualified colleagues may impair operational effectiveness and financial performance, especially in a competitive labour market.</t>
  </si>
  <si>
    <t>Inclusion Council of 28 executive and senior managers meets regularly to advance Culture and Inclusion, reporting to Loblaw's Management Board and Board of Directors. Recognized as Canada's Best Diversity Employers for twelve consecutive years (Globe and Mail). 'Even Better3' DEI workshop offered to 70,000+ colleagues in 2024.</t>
  </si>
  <si>
    <t>Loblaw.ca — Culture and Inclusion (DEI) Page</t>
  </si>
  <si>
    <t>p.42–43</t>
  </si>
  <si>
    <t>"Failure to attract and retain colleagues may impact the Company's ability to effectively operate and achieve financial performance goals."</t>
  </si>
  <si>
    <t>R-08</t>
  </si>
  <si>
    <t>Electronic Commerce &amp; Disruptive Technologies</t>
  </si>
  <si>
    <t>Digital / Strategy</t>
  </si>
  <si>
    <t>Failure to execute e-commerce strategy or adapt to AI and digital disruption could result in loss of market share. Company has made significant digital investments; inability to recover those costs is also flagged.</t>
  </si>
  <si>
    <t>PC Optimum loyalty program drives digital engagement and personalized customer value across all banners. E-commerce sales experienced robust growth in Q4 2025. Agentic AI adoption announced as a strategic priority; omnichannel convenience remains a core customer focus.</t>
  </si>
  <si>
    <t>p.43</t>
  </si>
  <si>
    <t>"The Company has increased its investment in improving the digital customer experience, but there can be no assurances that the Company will be able to recover the costs incurred to date."</t>
  </si>
  <si>
    <t>Q4 2025 NR: 'robust growth' in e-commerce. Agentic AI and omnichannel stated as active strategic priorities.</t>
  </si>
  <si>
    <t>R-09</t>
  </si>
  <si>
    <t>Inventory Management &amp; Shrink</t>
  </si>
  <si>
    <t>Operations / Retail</t>
  </si>
  <si>
    <t>Risks from excess/obsolete inventory, shrink (theft/loss), and inaccurate inventory data. New IT systems intended to improve visibility but carry implementation risk. Inaccurate inventory can lead to misstated financial results.</t>
  </si>
  <si>
    <t>Retail Operations</t>
  </si>
  <si>
    <t>New IT systems implemented to provide integrated inventory and sales visibility at store level. Retail segment examining article lifecycle management processes to simplify procurement, supply chain and merchandising. Supply chain process simplification underway as an enterprise core solution.</t>
  </si>
  <si>
    <t>"Although the Company has implemented new IT systems, which are intended to provide increased visibility to integrated inventory and sales information at store level."</t>
  </si>
  <si>
    <t>Intersects with IT implementation risk (R-03). Controls mentioned within the risk description in the Annual Report, p.43.</t>
  </si>
  <si>
    <t>R-10</t>
  </si>
  <si>
    <t>Regulatory Compliance</t>
  </si>
  <si>
    <t>Regulatory / Legal</t>
  </si>
  <si>
    <t>Subject to laws across all jurisdictions including product liability, labour, antitrust, pharmacy, food safety, privacy, and environmental. Changes to tax, minimum wage, or labelling regulations could adversely affect operations.</t>
  </si>
  <si>
    <t>Legal / Compliance</t>
  </si>
  <si>
    <t>Integrity Action Line (1-800-525-7868, available in English, French, Mandarin, Cantonese, Punjabi, Spanish and Korean) enables anonymous confidential reporting of non-compliance, unethical practices, and regulatory violations. Colleague Code of Conduct establishes standards for integrity, professionalism, and accountability.</t>
  </si>
  <si>
    <t>Loblaw.ca — Colleagues Page</t>
  </si>
  <si>
    <t>"The Company is subject to a wide variety of laws, regulations and orders across all countries in which it does business."</t>
  </si>
  <si>
    <t>Broad regulatory exposure across all provinces and jurisdictions. Integrity Action Line directly addresses non-compliance reporting.</t>
  </si>
  <si>
    <t>R-11</t>
  </si>
  <si>
    <t>Alternative Sourcing of Generic Drug Products</t>
  </si>
  <si>
    <t>Pharmacy / Regulatory</t>
  </si>
  <si>
    <t>Product liability, intellectual property, and regulatory risks associated with alternative sourcing and procurement of generic prescription drugs. Non-compliance could result in recalls, fines, or regulatory action.</t>
  </si>
  <si>
    <t>Pharmacy / Procurement</t>
  </si>
  <si>
    <t>Quality Assurance and Food Safety teams manage, review and update standards enterprise-wide. Patient safety and clinical excellence are stated as the cornerstones of pharmacy operations. Supplier Code of Conduct requires all products to meet or exceed food, drug, and product safety standards required by applicable Canadian laws and regulations.</t>
  </si>
  <si>
    <t>Loblaw.ca — Supply Chain Accountability Page</t>
  </si>
  <si>
    <t>p.43–44</t>
  </si>
  <si>
    <t>"Failure to effectively manage product liability, intellectual property, and related regulatory risks associated with alternative sourcing and procurement of generic prescription drug products."</t>
  </si>
  <si>
    <t>Generic sourcing increasingly important given pharmacare pressures. Moderate risk with QA controls in place.</t>
  </si>
  <si>
    <t>R-12</t>
  </si>
  <si>
    <t>Food, Drug, Product &amp; Services Safety</t>
  </si>
  <si>
    <t>Product Safety</t>
  </si>
  <si>
    <t>Public health events, medication dispensing errors, food contamination, or product defects could result in injury, mass recalls, litigation, and severe reputational damage.</t>
  </si>
  <si>
    <t>Quality Assurance / Operations</t>
  </si>
  <si>
    <t>p.44</t>
  </si>
  <si>
    <t>"Public health events including those related to food and drug safety; errors made through medication dispensing or errors related to patient services or consultation."</t>
  </si>
  <si>
    <t>R-13</t>
  </si>
  <si>
    <t>Competitive Environment &amp; Strategy</t>
  </si>
  <si>
    <t>Strategy</t>
  </si>
  <si>
    <t>Failure to respond to existing competitors or new market entrants (domestic discount, international grocery, e-commerce) could result in market share loss and reduced financial performance.</t>
  </si>
  <si>
    <t>Strategy / Marketing</t>
  </si>
  <si>
    <t>77 new food and drug retail locations opened in 2025. T&amp;T Supermarkets expanding into the United States. PC Optimum loyalty program drives sustained customer engagement across all banners. Retail media (Loblaw Media) and Lifemark physiotherapy network are margin-accretive diversification businesses. Private label (PC®, no name®) offers differentiated value.</t>
  </si>
  <si>
    <t>"Failure to effectively respond to consumer trends or heightened competition, whether from current competitors or new entrants to the marketplace."</t>
  </si>
  <si>
    <t>R-14</t>
  </si>
  <si>
    <t>Change Management, Process &amp; Efficiency</t>
  </si>
  <si>
    <t>Multiple simultaneous organizational changes (IT modernization, supply chain automation, healthcare strategy) could strain operations and fail to deliver anticipated efficiencies.</t>
  </si>
  <si>
    <t>Operations / HR</t>
  </si>
  <si>
    <t>ESG Steering Committee of senior leaders provides structured oversight of major transformation programs. ESG Management Committees (Carbon, Plastics, Food Waste, Inclusion Council) manage specific initiatives with accountability to Management Board and Board of Directors. Three Lines of Defense model (Internal Audit + external assurance) monitors program effectiveness.</t>
  </si>
  <si>
    <t>Loblaw 2025 Priority ESG Disclosure Report (Feb 2026)</t>
  </si>
  <si>
    <t>p.44–45</t>
  </si>
  <si>
    <t>"Failure to realize the anticipated benefits associated with the Company's strategic priorities and major initiatives, including revenue growth, anticipated cost savings and operating efficiencies."</t>
  </si>
  <si>
    <t>R-15</t>
  </si>
  <si>
    <t>Labour Relations</t>
  </si>
  <si>
    <t>Failure to achieve favourable collective bargaining outcomes could result in labour disruptions, work stoppages, or cost increases adversely affecting store operations and profitability.</t>
  </si>
  <si>
    <t>Human Resources / Legal</t>
  </si>
  <si>
    <t>Approximately 80.5% of corporate retail and supply chain colleagues covered by more than 380 collective bargaining agreements. CORE values (Care, Ownership, Respect, Excellence) embedded across all locations. Annual 'Tell It as It Is' engagement survey captures feedback on leadership, culture, ethics, and wellbeing. Competitive wages and healthcare and retirement benefits pursued in each negotiation.</t>
  </si>
  <si>
    <t>p.45</t>
  </si>
  <si>
    <t>"Failure to achieve desired results in labour negotiations, including the terms of future collective bargaining agreements."</t>
  </si>
  <si>
    <t>R-16</t>
  </si>
  <si>
    <t>Environmental &amp; Social</t>
  </si>
  <si>
    <t>ESG</t>
  </si>
  <si>
    <t>Failure to meet climate commitments, adapt to physical climate impacts, or manage social equity priorities could result in fines, reputational damage, and environmental liability (incl. underground fuel tanks, refrigerant gases).</t>
  </si>
  <si>
    <t>Sustainability / Corporate Affairs</t>
  </si>
  <si>
    <t>p.45–47</t>
  </si>
  <si>
    <t>"Any failure to meet its strategic objectives, adhere to climate change reforms or to adapt to the impacts of climate change...could result in fines or could adversely affect the Company's reputation, operations or financial performance."</t>
  </si>
  <si>
    <t>Underground fuel storage tanks and refrigerant gases noted as specific operational risks. Likelihood 2, Impact 3.</t>
  </si>
  <si>
    <t>R-17</t>
  </si>
  <si>
    <t>Business Continuity</t>
  </si>
  <si>
    <t>Catastrophic events (fire, natural disaster, pandemic, severe weather) could disrupt store network, supply chain, and IT systems, resulting in significant financial and reputational harm.</t>
  </si>
  <si>
    <t>Operations / Risk Management</t>
  </si>
  <si>
    <t>p.47–48</t>
  </si>
  <si>
    <t>"The Company's distribution and supply chain could be negatively affected by unforeseen disruptions due to fire, severe weather conditions, natural disasters or other catastrophic events."</t>
  </si>
  <si>
    <t>R-18</t>
  </si>
  <si>
    <t>Legal Proceedings</t>
  </si>
  <si>
    <t>Legal</t>
  </si>
  <si>
    <t>Company is subject to legal actions and tax proceedings. Adverse outcomes could result in material penalties, tax reassessments, and reputational damage.</t>
  </si>
  <si>
    <t>Legal / Finance</t>
  </si>
  <si>
    <t>Integrity Action Line (1-800-525-7868, available in 7 languages) enables anonymous confidential reporting of suspicious activity, non-compliance, and potential legal violations. Colleague Code of Conduct applies to all directors, officers, and colleagues.</t>
  </si>
  <si>
    <t>Accept</t>
  </si>
  <si>
    <t>p.48</t>
  </si>
  <si>
    <t>"It is not currently possible to predict the outcome of the Company's legal actions and proceedings with certainty."</t>
  </si>
  <si>
    <t>Accepted as an ordinary course risk with provisions in place. Per Note 30 of the Financial Statements.</t>
  </si>
  <si>
    <t>R-19</t>
  </si>
  <si>
    <t>Service Providers (Third-Party Dependency)</t>
  </si>
  <si>
    <t>Third-Party Risk</t>
  </si>
  <si>
    <t>Payroll, IT, investment management, and benefit administration are outsourced. Disruption by any key provider could impair operations and PC Bank's financial services performance.</t>
  </si>
  <si>
    <t>Procurement / Operations</t>
  </si>
  <si>
    <t>Third-party logistics service providers are used at several of the Company's distribution centres. The Company uses various modes of transportation, including its own trucking fleet and third-party common carriers, railways and ocean carriers, and is not dependent on any one of these providers.</t>
  </si>
  <si>
    <t>p.48–49</t>
  </si>
  <si>
    <t>"The Company has outsourced certain administrative functions of its business to service providers...Any disruption in the services provided by these suppliers could adversely affect the return on these assets or liquidity of the Company."</t>
  </si>
  <si>
    <t>PC Bank reliance on third-party financial infrastructure is an elevated risk area. Controls confirmed from loblaw.ca/supply-chain.</t>
  </si>
  <si>
    <t>R-20</t>
  </si>
  <si>
    <t>Franchisee Relationships</t>
  </si>
  <si>
    <t>A substantial portion of revenues derives from franchisee fees and rents. Non-compliance or financial failure by franchisees could reduce income and create legal exposure under provincial franchise legislation.</t>
  </si>
  <si>
    <t>Franchisees are independent operators who have entered into agreements permitting them to own and operate retail stores in accordance with prescribed procedures and operational standards. Franchisee compliance monitoring and relationship management maintained. Franchisees are subject to provincial franchise legislation.</t>
  </si>
  <si>
    <t>p.49</t>
  </si>
  <si>
    <t>"A substantial portion of the Company's revenues and earnings comes from amounts paid by franchisees in connection with their store operations and leased property."</t>
  </si>
  <si>
    <t>Revenue concentration + provincial franchise legislation add regulatory complexity. Impact 4 given fee/rent revenue dependency.</t>
  </si>
  <si>
    <t>R-21</t>
  </si>
  <si>
    <t>Liquidity Risk</t>
  </si>
  <si>
    <t>Financial</t>
  </si>
  <si>
    <t>Financial Instruments</t>
  </si>
  <si>
    <t>Risk that the Company cannot generate sufficient cash to fund obligations. PC Bank requires reliable funding for credit card business via securitization and deposits.</t>
  </si>
  <si>
    <t>Finance / Treasury</t>
  </si>
  <si>
    <t>Diversified funding sources maintained. Committed revolving credit facilities in place. Well-diversified debt maturity profile to avoid concentration of near-term maturities. PC Bank accesses securitization programs (PC Bank Securitization Trust) and customer deposits. Active monitoring of market conditions and cash levels.</t>
  </si>
  <si>
    <t>p.49–50</t>
  </si>
  <si>
    <t>"Liquidity risk is the risk that the Company is unable to generate or obtain sufficient cash or its equivalents in a cost effective manner to fund its obligations as they come due."</t>
  </si>
  <si>
    <t>Total financial liabilities ~$17.7B; near-term 2026 obligations ~$8.2B (Note 29). Diversified funding structure confirmed in Section 11.2.</t>
  </si>
  <si>
    <t>R-22</t>
  </si>
  <si>
    <t>Credit Risk</t>
  </si>
  <si>
    <t>Risk that counterparties default on financial obligations, including derivatives, accounts receivable, and PC Bank credit card receivables.</t>
  </si>
  <si>
    <t>Finance / PC Bank</t>
  </si>
  <si>
    <t>Minimum 'A-' credit rating required for all counterparties on derivative instruments. PC Bank employs credit scoring techniques and actively monitors receivable portfolios. Credit card portfolio dispersed across a large number of customers to minimize concentration risk.</t>
  </si>
  <si>
    <t>p.50</t>
  </si>
  <si>
    <t>"The Company is exposed to credit risk resulting from the possibility that counterparties could default on their financial obligations to the Company."</t>
  </si>
  <si>
    <t>PC Bank credit card portfolio diversified across large customer base. Likelihood 2, Impact 3.</t>
  </si>
  <si>
    <t>R-23</t>
  </si>
  <si>
    <t>Commodity Price Risk</t>
  </si>
  <si>
    <t>Market Risk</t>
  </si>
  <si>
    <t>Exposed to commodity price increases affecting operating costs in stores/distribution and indirectly through product cost increases. Rising commodity prices adversely affect financial performance.</t>
  </si>
  <si>
    <t>Finance / Procurement</t>
  </si>
  <si>
    <t>Purchase commitments used to lock in commodity prices. Exchange-traded futures contracts and forward derivative instruments used to hedge commodity cost volatility. Active monitoring of commodity market conditions.</t>
  </si>
  <si>
    <t>"Rising commodity prices could adversely affect the financial performance of the Company. To manage a portion of this exposure, the Company uses purchase commitments and derivative instruments."</t>
  </si>
  <si>
    <t>R-24</t>
  </si>
  <si>
    <t>Interest Rate Risk</t>
  </si>
  <si>
    <t>Exposed to interest rate fluctuations on floating rate debt and on refinancing of existing instruments. An increase in rates could adversely affect financial performance.</t>
  </si>
  <si>
    <t>Majority of debt maintained at fixed interest rates to limit floating rate exposure. Active monitoring of fixed vs. floating rate mix. Bond forward instruments used to manage refinancing risk. Debt financing policies reviewed regularly by Management and Audit Committee.</t>
  </si>
  <si>
    <t>"The Company manages interest rate risk by monitoring the respective mix of fixed and floating rate debt...with the objective of maintaining the majority of its debt at fixed interest rates."</t>
  </si>
  <si>
    <t>A 1% increase in short-term rates = ~$1M increase in net interest expense (Note 29). Well-managed; Likelihood 3, Impact 3.</t>
  </si>
  <si>
    <t>R-25</t>
  </si>
  <si>
    <t>Foreign Currency Exchange Rate Risk</t>
  </si>
  <si>
    <t>Exposed to CAD/USD variability primarily on U.S. dollar-denominated trade payables. A weakening Canadian dollar negatively impacts reported operating income and net earnings.</t>
  </si>
  <si>
    <t>Foreign exchange futures and forward contracts used to hedge CAD/USD exposure on trade payables. Forward contracts of $336M notional outstanding as at January 3, 2026. Active monitoring of USD-denominated trade payable exposure and currency markets.</t>
  </si>
  <si>
    <t>"A depreciating Canadian dollar relative to the U.S. dollar will have a negative impact on year-over-year changes in reported operating income and net earnings."</t>
  </si>
  <si>
    <t>FX forward contracts of $336M outstanding at year-end (Note 29). USD trade payables are primary FX exposure.</t>
  </si>
  <si>
    <t>R-26</t>
  </si>
  <si>
    <t>Credit Rating Risk</t>
  </si>
  <si>
    <t>Capital Markets</t>
  </si>
  <si>
    <t>A deterioration in the Company's credit rating could increase borrowing costs, restrict capital market access, and reduce financial flexibility.</t>
  </si>
  <si>
    <t>Capital management policy targets leverage and capital structure consistent with desired credit rating. Debt financing and risk management strategies reviewed regularly by Management and Audit Committee. Diversified debt maturity profile maintained. Committed credit facilities provide liquidity buffer.</t>
  </si>
  <si>
    <t>p.50–51</t>
  </si>
  <si>
    <t>"The Company has policies in place which govern debt financing plans and risk management strategies for liquidity, interest rates and foreign exchange."</t>
  </si>
  <si>
    <t>Leverage and capital structure actively managed to protect rating. Low likelihood given strong controls, but Impact 4 if credit rating deteriorates.</t>
  </si>
  <si>
    <t>LIKELIHOOD SCALE — How often could this risk occur?</t>
  </si>
  <si>
    <t>Score</t>
  </si>
  <si>
    <t>Label</t>
  </si>
  <si>
    <t>What it means</t>
  </si>
  <si>
    <t>Rare</t>
  </si>
  <si>
    <t>Very unlikely to happen; no real evidence it will occur</t>
  </si>
  <si>
    <t>e.g. 'it is possible that', 'in rare circumstances', 'cannot be ruled out'</t>
  </si>
  <si>
    <t>Unlikely</t>
  </si>
  <si>
    <t>Could happen but not expected under normal conditions</t>
  </si>
  <si>
    <t>e.g. 'could adversely affect', 'may impact', 'there is a risk that'</t>
  </si>
  <si>
    <t>Reasonably possible; similar events have occurred in this industry</t>
  </si>
  <si>
    <t>e.g. 'is subject to', 'if not effectively managed', 'failure to … could result in'</t>
  </si>
  <si>
    <t>Likely</t>
  </si>
  <si>
    <t>Expected to occur; already happening or clearly trending that way</t>
  </si>
  <si>
    <t>e.g. 'regularly subject to', 'expected to continue', 'are occurring more frequently'</t>
  </si>
  <si>
    <t>Almost Certain</t>
  </si>
  <si>
    <t>e.g. 'will adversely affect', 'is already causing', 'ongoing and increasing'</t>
  </si>
  <si>
    <t>IMPACT SCALE — How severe would the consequences be if this risk occurred?</t>
  </si>
  <si>
    <t>Negligible</t>
  </si>
  <si>
    <t>Minimal effect; absorbed within normal operations with no meaningful disruption</t>
  </si>
  <si>
    <t>e.g. 'minor impact', 'immaterial to results', 'limited in scope'</t>
  </si>
  <si>
    <t>Minor</t>
  </si>
  <si>
    <t>Limited, contained impact; affects a small part of the business only</t>
  </si>
  <si>
    <t>e.g. 'may adversely affect', 'limited exposure', 'contained to one segment'</t>
  </si>
  <si>
    <t>Moderate</t>
  </si>
  <si>
    <t>Meaningful impact on a business segment, reputation, or operational efficiency</t>
  </si>
  <si>
    <t>e.g. 'adversely affect the Company's operations or financial performance'</t>
  </si>
  <si>
    <t>Significant</t>
  </si>
  <si>
    <t>Material impact on annual financials, a key revenue stream, or a major business unit</t>
  </si>
  <si>
    <t>e.g. 'material adverse effect', 'could significantly impact profitability'</t>
  </si>
  <si>
    <t>Severe or existential threat; affects a significant portion of total revenue or the entire enterprise</t>
  </si>
  <si>
    <t>e.g. 'significant portion of sales and profits', 'enterprise-wide', 'irreparable reputational harm'</t>
  </si>
  <si>
    <t>RISK LEVEL THRESHOLDS  (Risk Score = Likelihood × Impact)</t>
  </si>
  <si>
    <t>Level</t>
  </si>
  <si>
    <t>Score Range</t>
  </si>
  <si>
    <t>Recommended Action</t>
  </si>
  <si>
    <t>Critical</t>
  </si>
  <si>
    <t>20 – 25</t>
  </si>
  <si>
    <t>Immediate escalation to senior leadership. Dedicated remediation plan with owner and timeline required.</t>
  </si>
  <si>
    <t>High</t>
  </si>
  <si>
    <t>12 – 19</t>
  </si>
  <si>
    <t>Priority attention. Controls review and action plan within 30 days.</t>
  </si>
  <si>
    <t>Medium</t>
  </si>
  <si>
    <t>6 – 11</t>
  </si>
  <si>
    <t>Active monitoring. Mitigation review each quarter.</t>
  </si>
  <si>
    <t>Low</t>
  </si>
  <si>
    <t>1 – 5</t>
  </si>
  <si>
    <t>CONTROL SOURCE KEY — How to Read Column L in the Risk Register</t>
  </si>
  <si>
    <t>Display Style</t>
  </si>
  <si>
    <t>Source type</t>
  </si>
  <si>
    <t>Example text in Column L</t>
  </si>
  <si>
    <t>Blue underlined text</t>
  </si>
  <si>
    <t>External Loblaw disclosure (loblaw.ca, Q4 News Release, ESG Report, AIF 2024)</t>
  </si>
  <si>
    <t>'Loblaw Q4 2025 News Release (Feb 2026)'</t>
  </si>
  <si>
    <t>Annual Report 2025, Section 11 (primary source document)</t>
  </si>
  <si>
    <t>'Annual Report 2025, Section 11'</t>
  </si>
  <si>
    <t>RISK COUNT BY LEVEL</t>
  </si>
  <si>
    <t>Risk Level</t>
  </si>
  <si>
    <t># of Risks</t>
  </si>
  <si>
    <t>% of Total</t>
  </si>
  <si>
    <t>Primary Risk Driver</t>
  </si>
  <si>
    <t>20–25</t>
  </si>
  <si>
    <t>Economic Conditions, Cybersecurity</t>
  </si>
  <si>
    <t>12–19</t>
  </si>
  <si>
    <t>Healthcare Reform, Competitive Strategy</t>
  </si>
  <si>
    <t>6–11</t>
  </si>
  <si>
    <t>IT Systems, Supply Chain, Labour</t>
  </si>
  <si>
    <t>1–5</t>
  </si>
  <si>
    <t>TOTAL</t>
  </si>
  <si>
    <t>1–25</t>
  </si>
  <si>
    <t>26 risks across Operating and Financial categories</t>
  </si>
  <si>
    <t>KEY ANALYST FINDINGS</t>
  </si>
  <si>
    <t>Near-certain; already materialising</t>
  </si>
  <si>
    <t>Major</t>
  </si>
  <si>
    <t>Severe</t>
  </si>
  <si>
    <t>Blue underlined textt</t>
  </si>
  <si>
    <t>=IF(H5&gt;=20,"Critical",…)</t>
  </si>
  <si>
    <t>=IF(H5&gt;=12,"High",…)</t>
  </si>
  <si>
    <t>=IF(H5&gt;=6,"Medium",…)</t>
  </si>
  <si>
    <t>=IF(Score&lt;6,"Low")</t>
  </si>
  <si>
    <t>Formula in Excel</t>
  </si>
  <si>
    <t>Clickable hyperlink that takes you directly to the Loblaws source that contains the control</t>
  </si>
  <si>
    <t>RISK SCORING METHODOLOGY - HOW SCORES WERE ASSIGNED FROM THE ANNUAL REPORT</t>
  </si>
  <si>
    <t>Scores are analyst judgments based on the language Loblaw's management used in Section 11 of the 2025 Annual Report. Controls are sourced directly from the Annual Report (Section 11) where explicitly stated, and from verified Loblaw public disclosures (loblaw.ca) for all other risks.</t>
  </si>
  <si>
    <t>Typical report language used</t>
  </si>
  <si>
    <t>1. TWO CRITICAL RISKS (Score 20): R-01 Economic Conditions and R-02 Cybersecurity, both scored Likelihood 4 because the Annual Report uses active language ('regularly subject to'; 'expected to continue'). Impact 5 reflects enterprise-wide revenue exposure.</t>
  </si>
  <si>
    <t>2. HEALTHCARE REFORM (R-04) is the largest structural threat: pharmacare reform is 'expected to continue to put downward pressure' on a 'significant portion of profits.' Loblaw's Connected Healthcare strategy, 97 new pharmacy care clinics added in 2025 and expanded pharmacist scope of practice — is the primary mitigation.</t>
  </si>
  <si>
    <t>3. IT RISK CLUSTER: R-02 Cybersecurity, R-03 IT Systems, and R-09 Inventory are interconnected, a single IT failure amplifies all three simultaneously. The East Gwillimbury fully automated distribution centre (operational 2025) and the Caledon DC (under construction) are the primary supply chain mitigation investments.</t>
  </si>
  <si>
    <t>4. ALL 26 RISKS sourced from Section 11 (pp.38–51) of the 2025 Annual Report. Page references and key quotes are in columns N and O for full traceability. Likelihood and Impact scores (columns F–G, in blue) are analyst inputs that can be challenged and/or updated.</t>
  </si>
  <si>
    <t>RISK REGISTER - SUMMARY</t>
  </si>
  <si>
    <t>Financial market risks</t>
  </si>
  <si>
    <t>Approx 50 new hard discount stores (No Frills, Maxi) planned and opened in 2025 as part of an $2.2B investment, one of the largest annual investments in Loblaw's history. PC Optimum loyalty program with more than 16 million active members reinforces value positioning. $10B five-year capital plan through 2030.</t>
  </si>
  <si>
    <t>1.2 million sq ft fully automated DC in East Gwillimbury, ON (operational 2025); second automated DC under construction in Caledon, ON. Diversified logistics network: own trucking fleet plus multiple third-party carriers, rail, and ocean carriers, not dependent on any single provider. $2.2B supply chain modernization investment in 2025.</t>
  </si>
  <si>
    <t>Quality Assurance and Food Safety teams manage and update standards across the enterprise. In 2024: 1,868 food safety inspections by provincial and federal regulators, 100% resolved successfully, zero fines for serious violations. Supplier Code of Conduct mandates food/drug safety compliance. Active product recall process in place with immediate shelf removal protocols.</t>
  </si>
  <si>
    <t>Net-zero targets: 2040 (enterprise operating footprint) and 2050 (Scope 3 emissions). GHG emissions reduced 16% from 2020 baseline. Zero food to landfill by 2030, 100% of eligible stores partnered with food recovery agencies. ESG Steering Committee and Board Risk &amp; Compliance Committee provide formal governance oversight of all climate and environmental risks.</t>
  </si>
  <si>
    <t>Diversified logistics network: own trucking fleet plus multiple third-party common carriers, railways and ocean carriers, not dependent on any one third-party provider. Geographic diversification reduces single-point-of-failure exposure across the national distribution network.</t>
  </si>
  <si>
    <t xml:space="preserve">Control statement found directly inside Section 11 of the 2025 Annual Report </t>
  </si>
  <si>
    <t>Primary Source: Loblaw 2025 Annual Report (Section 11, pp.38-51 and Note 29-30)  |  External Controls Sourced from: loblaw.ca, Q4 2025 News Release, ESG Report, AIF 2024</t>
  </si>
  <si>
    <t>LOBLAW COMPANIES LIMITED - ENTERPRISE RISK REGISTER</t>
  </si>
  <si>
    <t>Fiscal Year 2025  |  Primary Source: Loblaw Companies Limited 2025 Annual Report (Section 11)  |  External Sources: Loblaw public disclosures (loblaw.ca)  |  Prepared by: Adriana Bernaola |  April 2026</t>
  </si>
  <si>
    <t>LOBLAW COMPANIES LIMITED</t>
  </si>
  <si>
    <t>Enterprise Risk Register - 2025</t>
  </si>
  <si>
    <t>Prepared By:</t>
  </si>
  <si>
    <t>Adriana Bernaola</t>
  </si>
  <si>
    <t>Data Source:</t>
  </si>
  <si>
    <t>LCL 2025 Annual Report (Section 11)</t>
  </si>
  <si>
    <t>Report Date:</t>
  </si>
  <si>
    <t>WORKBOOK CONTENTS</t>
  </si>
  <si>
    <t>Cover</t>
  </si>
  <si>
    <t>This page, giving an introduction to the project and findings</t>
  </si>
  <si>
    <t>Risk Register</t>
  </si>
  <si>
    <t xml:space="preserve">Scoring Legend </t>
  </si>
  <si>
    <t xml:space="preserve">Guide on the scoring methodology that was followed </t>
  </si>
  <si>
    <t xml:space="preserve">Summary </t>
  </si>
  <si>
    <t>Highlighted risk level information  + key findings</t>
  </si>
  <si>
    <t>26 operating rating fully registered</t>
  </si>
  <si>
    <t xml:space="preserve">DISCLAIMER: All risk data comes from the Loblaw 2025 Annual Report and External Controls from the company. The risk scores and analysis are based on the analyst's own evaluation,  judgement and, understanding of the infromation. No data has been made up. </t>
  </si>
  <si>
    <t>Accept or monitor annually No immediate action required.</t>
  </si>
  <si>
    <t>Tariff 'T' program and hard-discount expansion confirmed in Q4 2025 investor call (July 2025). Likelihood 4 - 'regularly subject to'; Impact 5 - enterprise-wide revenue exposure.</t>
  </si>
  <si>
    <t>Broad retail sector workforce risk. Likelihood 3, Impact 3,  well-managed with active programs.</t>
  </si>
  <si>
    <t xml:space="preserve">Low frequency but catastrophic if realized. </t>
  </si>
  <si>
    <t>Competitive environment is ongoing and active. Likelihood 4. Market share implications across both Retail and Pharmacy = Impact 4.</t>
  </si>
  <si>
    <t>Concurrent transformations (IT, DCs, healthcare, ESG) increase organizational change burden,  manageable with structured oversight.</t>
  </si>
  <si>
    <t>Operates across unionized and non-unionized environments in all provinces. A work stoppage in distribution or pharmacy would be high impact = Impact 4.</t>
  </si>
  <si>
    <t>Low likelihood but significant operational impact given scale of network. Automated DCs improve efficiency but also concentrate key infrastructure = Impact 4.</t>
  </si>
  <si>
    <t>A 10% decrease in commodity prices = ~$2M loss on earnings before tax (Note 29). Likelihood 4, commodity fluctuation is frequent and ongoing.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</si>
</sst>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mmm\,\ yyyy"/>
  </numFmts>
  <fonts count="30" x14ac:knownFonts="1">
    <font>
      <sz val="11"/>
      <color theme="1"/>
      <name val="Calibri"/>
      <family val="2"/>
      <charset val="1"/>
    </font>
    <font>
      <sz val="10"/>
      <name val="Arial"/>
    </font>
    <font>
      <b/>
      <sz val="14"/>
      <color rgb="FFFFFFFF"/>
      <name val="Arial"/>
      <charset val="1"/>
    </font>
    <font>
      <i/>
      <sz val="9"/>
      <color rgb="FF595959"/>
      <name val="Arial"/>
      <charset val="1"/>
    </font>
    <font>
      <b/>
      <sz val="9"/>
      <color rgb="FFFFFFFF"/>
      <name val="Arial"/>
      <charset val="1"/>
    </font>
    <font>
      <sz val="9"/>
      <color rgb="FF000000"/>
      <name val="Arial"/>
      <charset val="1"/>
    </font>
    <font>
      <b/>
      <sz val="9"/>
      <color rgb="FF000000"/>
      <name val="Arial"/>
      <charset val="1"/>
    </font>
    <font>
      <b/>
      <sz val="9"/>
      <color rgb="FF00008B"/>
      <name val="Arial"/>
      <charset val="1"/>
    </font>
    <font>
      <sz val="9"/>
      <color rgb="FF1F3864"/>
      <name val="Arial"/>
      <charset val="1"/>
    </font>
    <font>
      <b/>
      <sz val="12"/>
      <color rgb="FFFFFFFF"/>
      <name val="Arial"/>
      <charset val="1"/>
    </font>
    <font>
      <b/>
      <sz val="13"/>
      <color rgb="FFFFFFFF"/>
      <name val="Arial"/>
      <charset val="1"/>
    </font>
    <font>
      <sz val="9"/>
      <color rgb="FFFFFFFF"/>
      <name val="Arial"/>
      <charset val="1"/>
    </font>
    <font>
      <sz val="9"/>
      <name val="Arial"/>
      <charset val="1"/>
    </font>
    <font>
      <u/>
      <sz val="11"/>
      <color theme="10"/>
      <name val="Calibri"/>
      <family val="2"/>
      <charset val="1"/>
    </font>
    <font>
      <b/>
      <sz val="9"/>
      <color rgb="FF000000"/>
      <name val="Arial"/>
      <family val="2"/>
    </font>
    <font>
      <b/>
      <sz val="9"/>
      <color rgb="FFFFFFFF"/>
      <name val="Arial"/>
      <family val="2"/>
    </font>
    <font>
      <sz val="9"/>
      <name val="Arial"/>
      <family val="2"/>
    </font>
    <font>
      <sz val="9"/>
      <color rgb="FF000000"/>
      <name val="Arial"/>
      <family val="2"/>
    </font>
    <font>
      <b/>
      <sz val="12"/>
      <color rgb="FFFFFFFF"/>
      <name val="Arial"/>
      <family val="2"/>
    </font>
    <font>
      <i/>
      <sz val="9"/>
      <color rgb="FF595959"/>
      <name val="Arial"/>
      <family val="2"/>
    </font>
    <font>
      <b/>
      <sz val="13"/>
      <color rgb="FFFFFFFF"/>
      <name val="Arial"/>
      <family val="2"/>
    </font>
    <font>
      <u/>
      <sz val="9"/>
      <color rgb="FF0070C0"/>
      <name val="Arial"/>
      <family val="2"/>
    </font>
    <font>
      <b/>
      <sz val="14"/>
      <color rgb="FFFFFFFF"/>
      <name val="Arial"/>
      <family val="2"/>
    </font>
    <font>
      <b/>
      <sz val="22"/>
      <color theme="0"/>
      <name val="Arial"/>
      <family val="2"/>
    </font>
    <font>
      <sz val="12"/>
      <color theme="4" tint="0.59999389629810485"/>
      <name val="Arial"/>
      <family val="2"/>
    </font>
    <font>
      <sz val="11"/>
      <color theme="1"/>
      <name val="Arial"/>
      <family val="2"/>
    </font>
    <font>
      <b/>
      <sz val="10"/>
      <color theme="1"/>
      <name val="Arial"/>
      <family val="2"/>
    </font>
    <font>
      <sz val="10"/>
      <color theme="1"/>
      <name val="Arial"/>
      <family val="2"/>
    </font>
    <font>
      <i/>
      <sz val="8"/>
      <color theme="0"/>
      <name val="Arial"/>
      <family val="2"/>
    </font>
    <font>
      <sz val="9"/>
      <color theme="0"/>
      <name val="Arial"/>
      <family val="2"/>
    </font>
  </fonts>
  <fills count="14">
    <fill>
      <patternFill patternType="none"/>
    </fill>
    <fill>
      <patternFill patternType="gray125"/>
    </fill>
    <fill>
      <patternFill patternType="solid">
        <fgColor rgb="FF1F3864"/>
        <bgColor rgb="FF333333"/>
      </patternFill>
    </fill>
    <fill>
      <patternFill patternType="solid">
        <fgColor rgb="FFD9E2F3"/>
        <bgColor rgb="FFEBF3FB"/>
      </patternFill>
    </fill>
    <fill>
      <patternFill patternType="solid">
        <fgColor rgb="FF2E75B6"/>
        <bgColor rgb="FF0563C1"/>
      </patternFill>
    </fill>
    <fill>
      <patternFill patternType="solid">
        <fgColor rgb="FFEBF3FB"/>
        <bgColor rgb="FFFFFFFF"/>
      </patternFill>
    </fill>
    <fill>
      <patternFill patternType="solid">
        <fgColor rgb="FFFFFFFF"/>
        <bgColor rgb="FFEBF3FB"/>
      </patternFill>
    </fill>
    <fill>
      <patternFill patternType="solid">
        <fgColor rgb="FFC00000"/>
        <bgColor rgb="FFFF0000"/>
      </patternFill>
    </fill>
    <fill>
      <patternFill patternType="solid">
        <fgColor rgb="FFFF0000"/>
        <bgColor rgb="FFC00000"/>
      </patternFill>
    </fill>
    <fill>
      <patternFill patternType="solid">
        <fgColor rgb="FFFF9900"/>
        <bgColor rgb="FFFFCC00"/>
      </patternFill>
    </fill>
    <fill>
      <patternFill patternType="solid">
        <fgColor rgb="FF70AD47"/>
        <bgColor rgb="FF339966"/>
      </patternFill>
    </fill>
    <fill>
      <patternFill patternType="solid">
        <fgColor rgb="FF1F3864"/>
        <bgColor indexed="64"/>
      </patternFill>
    </fill>
    <fill>
      <patternFill patternType="solid">
        <fgColor theme="4" tint="0.79998168889431442"/>
        <bgColor indexed="64"/>
      </patternFill>
    </fill>
    <fill>
      <patternFill patternType="solid">
        <fgColor theme="0" tint="-4.9989318521683403E-2"/>
        <bgColor indexed="64"/>
      </patternFill>
    </fill>
  </fills>
  <borders count="8">
    <border>
      <left/>
      <right/>
      <top/>
      <bottom/>
      <diagonal/>
    </border>
    <border>
      <left style="thin">
        <color rgb="FFBDD7EE"/>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
      <left/>
      <right/>
      <top style="thin">
        <color rgb="FFBDD7EE"/>
      </top>
      <bottom style="thin">
        <color rgb="FFBDD7EE"/>
      </bottom>
      <diagonal/>
    </border>
    <border>
      <left/>
      <right style="thin">
        <color theme="4" tint="0.79998168889431442"/>
      </right>
      <top style="thin">
        <color rgb="FFBDD7EE"/>
      </top>
      <bottom style="thin">
        <color rgb="FFBDD7EE"/>
      </bottom>
      <diagonal/>
    </border>
    <border>
      <left style="thin">
        <color rgb="FFBDD7EE"/>
      </left>
      <right style="thin">
        <color theme="4" tint="0.79998168889431442"/>
      </right>
      <top style="thin">
        <color rgb="FFBDD7EE"/>
      </top>
      <bottom style="thin">
        <color rgb="FFBDD7EE"/>
      </bottom>
      <diagonal/>
    </border>
    <border>
      <left/>
      <right/>
      <top/>
      <bottom style="thin">
        <color rgb="FFBDD7EE"/>
      </bottom>
      <diagonal/>
    </border>
    <border>
      <left style="thin">
        <color theme="4" tint="0.79998168889431442"/>
      </left>
      <right/>
      <top/>
      <bottom/>
      <diagonal/>
    </border>
  </borders>
  <cellStyleXfs count="3">
    <xf numFmtId="0" fontId="0" fillId="0" borderId="0"/>
    <xf numFmtId="0" fontId="13" fillId="0" borderId="0" applyNumberFormat="0" applyFill="0" applyBorder="0" applyAlignment="0" applyProtection="0"/>
    <xf numFmtId="9" fontId="1" fillId="0" borderId="0" applyBorder="0" applyAlignment="0" applyProtection="0"/>
  </cellStyleXfs>
  <cellXfs count="99">
    <xf numFmtId="0" fontId="0" fillId="0" borderId="0" xfId="0"/>
    <xf numFmtId="0" fontId="12" fillId="5" borderId="2"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10" fillId="2" borderId="0" xfId="0" applyFont="1" applyFill="1" applyAlignment="1">
      <alignment horizontal="center" vertical="center"/>
    </xf>
    <xf numFmtId="0" fontId="4" fillId="4" borderId="2" xfId="0" applyFont="1" applyFill="1" applyBorder="1" applyAlignment="1">
      <alignment horizontal="center" vertical="center" wrapText="1"/>
    </xf>
    <xf numFmtId="0" fontId="3" fillId="3" borderId="0" xfId="0" applyFont="1" applyFill="1" applyAlignment="1">
      <alignment horizontal="center" vertical="center"/>
    </xf>
    <xf numFmtId="0" fontId="2" fillId="2" borderId="0" xfId="0" applyFont="1" applyFill="1" applyAlignment="1">
      <alignment horizontal="center" vertical="center"/>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9" fontId="11" fillId="7" borderId="1" xfId="0" applyNumberFormat="1" applyFont="1" applyFill="1" applyBorder="1" applyAlignment="1">
      <alignment horizontal="center" vertical="center" wrapText="1"/>
    </xf>
    <xf numFmtId="0" fontId="11" fillId="7"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9" fontId="11" fillId="8" borderId="1" xfId="0" applyNumberFormat="1" applyFont="1" applyFill="1" applyBorder="1" applyAlignment="1">
      <alignment horizontal="center" vertical="center" wrapText="1"/>
    </xf>
    <xf numFmtId="0" fontId="11" fillId="8"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9" fontId="5" fillId="9" borderId="1" xfId="0" applyNumberFormat="1"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9" fontId="5" fillId="10"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14" fillId="6" borderId="1" xfId="0" applyFont="1" applyFill="1" applyBorder="1" applyAlignment="1">
      <alignment horizontal="center" vertical="center"/>
    </xf>
    <xf numFmtId="0" fontId="16" fillId="6" borderId="1"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6" fillId="0" borderId="1" xfId="0" quotePrefix="1" applyFont="1" applyFill="1" applyBorder="1" applyAlignment="1">
      <alignment horizontal="left" vertical="center" wrapText="1"/>
    </xf>
    <xf numFmtId="0" fontId="15" fillId="2" borderId="1" xfId="0" applyFont="1" applyFill="1" applyBorder="1" applyAlignment="1">
      <alignment horizontal="center" vertical="center" wrapText="1"/>
    </xf>
    <xf numFmtId="0" fontId="18" fillId="2" borderId="0" xfId="0" applyFont="1" applyFill="1" applyAlignment="1">
      <alignment horizontal="center" vertical="center"/>
    </xf>
    <xf numFmtId="0" fontId="16" fillId="6" borderId="2"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3" fillId="3" borderId="0" xfId="0" applyFont="1" applyFill="1" applyAlignment="1">
      <alignment horizontal="center" vertical="center" wrapText="1"/>
    </xf>
    <xf numFmtId="0" fontId="19" fillId="3" borderId="0" xfId="0" applyFont="1" applyFill="1" applyAlignment="1">
      <alignment horizontal="center" vertical="center" wrapText="1"/>
    </xf>
    <xf numFmtId="0" fontId="20" fillId="2" borderId="0" xfId="0" applyFont="1" applyFill="1" applyAlignment="1">
      <alignment horizontal="center" vertical="center"/>
    </xf>
    <xf numFmtId="0" fontId="17" fillId="10"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21" fillId="5" borderId="1" xfId="0" applyFont="1" applyFill="1" applyBorder="1" applyAlignment="1">
      <alignment horizontal="center" vertical="center" wrapText="1"/>
    </xf>
    <xf numFmtId="0" fontId="21" fillId="6" borderId="1" xfId="1" applyFont="1" applyFill="1" applyBorder="1" applyAlignment="1">
      <alignment horizontal="center" vertical="center" wrapText="1"/>
    </xf>
    <xf numFmtId="0" fontId="21" fillId="6" borderId="1" xfId="0" applyFont="1" applyFill="1" applyBorder="1" applyAlignment="1">
      <alignment horizontal="center" vertical="center" wrapText="1"/>
    </xf>
    <xf numFmtId="0" fontId="21" fillId="5" borderId="1" xfId="1" applyFont="1" applyFill="1" applyBorder="1" applyAlignment="1">
      <alignment horizontal="center" vertical="center" wrapText="1"/>
    </xf>
    <xf numFmtId="0" fontId="21" fillId="0" borderId="0" xfId="1" applyFont="1" applyFill="1" applyAlignment="1">
      <alignment horizontal="center" wrapText="1"/>
    </xf>
    <xf numFmtId="0" fontId="19" fillId="3" borderId="0" xfId="0" applyFont="1" applyFill="1" applyAlignment="1">
      <alignment horizontal="center" vertical="center"/>
    </xf>
    <xf numFmtId="0" fontId="22" fillId="2" borderId="0" xfId="0" applyFont="1" applyFill="1" applyAlignment="1">
      <alignment horizontal="center" vertical="center"/>
    </xf>
    <xf numFmtId="0" fontId="0" fillId="11" borderId="0" xfId="0" applyFill="1"/>
    <xf numFmtId="0" fontId="23" fillId="11" borderId="0" xfId="0" applyFont="1" applyFill="1" applyAlignment="1">
      <alignment horizontal="left"/>
    </xf>
    <xf numFmtId="0" fontId="24" fillId="11" borderId="0" xfId="0" applyFont="1" applyFill="1" applyAlignment="1">
      <alignment horizontal="left"/>
    </xf>
    <xf numFmtId="0" fontId="25" fillId="11" borderId="0" xfId="0" applyFont="1" applyFill="1"/>
    <xf numFmtId="0" fontId="0" fillId="12" borderId="0" xfId="0" applyFill="1"/>
    <xf numFmtId="0" fontId="27" fillId="0" borderId="0" xfId="0" applyFont="1"/>
    <xf numFmtId="166" fontId="27" fillId="0" borderId="0" xfId="0" applyNumberFormat="1" applyFont="1"/>
    <xf numFmtId="0" fontId="27" fillId="12" borderId="0" xfId="0" applyFont="1" applyFill="1"/>
    <xf numFmtId="0" fontId="26" fillId="0" borderId="0" xfId="0" applyFont="1" applyAlignment="1">
      <alignment horizontal="left"/>
    </xf>
    <xf numFmtId="0" fontId="26" fillId="13" borderId="0" xfId="0" applyFont="1" applyFill="1" applyAlignment="1">
      <alignment horizontal="left"/>
    </xf>
    <xf numFmtId="0" fontId="27" fillId="13" borderId="0" xfId="0" applyFont="1" applyFill="1"/>
    <xf numFmtId="0" fontId="0" fillId="13" borderId="0" xfId="0" applyFill="1"/>
    <xf numFmtId="0" fontId="28" fillId="11" borderId="0" xfId="0" applyFont="1" applyFill="1" applyAlignment="1">
      <alignment horizontal="left" vertical="center" wrapText="1"/>
    </xf>
    <xf numFmtId="0" fontId="4" fillId="4" borderId="3" xfId="0" applyFont="1" applyFill="1" applyBorder="1" applyAlignment="1">
      <alignment horizontal="center" vertical="center" wrapText="1"/>
    </xf>
    <xf numFmtId="0" fontId="3" fillId="6" borderId="2" xfId="0" applyFont="1" applyFill="1" applyBorder="1" applyAlignment="1">
      <alignment horizontal="left" vertical="center" wrapText="1"/>
    </xf>
    <xf numFmtId="0" fontId="4" fillId="0" borderId="0" xfId="0" applyFont="1" applyFill="1" applyBorder="1" applyAlignment="1">
      <alignment vertical="center" wrapText="1"/>
    </xf>
    <xf numFmtId="0" fontId="4" fillId="0" borderId="0" xfId="0" applyFont="1" applyFill="1" applyBorder="1" applyAlignment="1">
      <alignment horizontal="center" vertical="center" wrapText="1"/>
    </xf>
    <xf numFmtId="0" fontId="8" fillId="0" borderId="0" xfId="0" applyFont="1" applyFill="1" applyBorder="1" applyAlignment="1">
      <alignment horizontal="left" vertical="center" wrapText="1"/>
    </xf>
    <xf numFmtId="0" fontId="0" fillId="0" borderId="0" xfId="0" applyFill="1" applyBorder="1"/>
    <xf numFmtId="0" fontId="17" fillId="0" borderId="0" xfId="0" applyFont="1" applyFill="1" applyBorder="1" applyAlignment="1">
      <alignment horizontal="left" vertical="center" wrapText="1"/>
    </xf>
    <xf numFmtId="0" fontId="9" fillId="0" borderId="0" xfId="0" applyFont="1" applyFill="1" applyAlignment="1">
      <alignment vertical="center"/>
    </xf>
    <xf numFmtId="0" fontId="3" fillId="0" borderId="0" xfId="0" applyFont="1" applyFill="1" applyAlignment="1">
      <alignment vertical="center" wrapText="1"/>
    </xf>
    <xf numFmtId="0" fontId="4" fillId="2" borderId="5" xfId="0" applyFont="1" applyFill="1" applyBorder="1" applyAlignment="1">
      <alignment horizontal="center" vertical="center" wrapText="1"/>
    </xf>
    <xf numFmtId="0" fontId="5" fillId="6" borderId="5" xfId="0" applyFont="1" applyFill="1" applyBorder="1" applyAlignment="1">
      <alignment horizontal="left" vertical="center" wrapText="1"/>
    </xf>
    <xf numFmtId="0" fontId="5" fillId="5" borderId="5" xfId="0" applyFont="1" applyFill="1" applyBorder="1" applyAlignment="1">
      <alignment horizontal="left" vertical="center" wrapText="1"/>
    </xf>
    <xf numFmtId="0" fontId="17" fillId="6" borderId="5" xfId="0" applyFont="1" applyFill="1" applyBorder="1" applyAlignment="1">
      <alignment horizontal="left" vertical="center" wrapText="1"/>
    </xf>
    <xf numFmtId="0" fontId="15" fillId="2" borderId="5" xfId="0" applyFont="1" applyFill="1" applyBorder="1" applyAlignment="1">
      <alignment horizontal="center" vertical="center" wrapText="1"/>
    </xf>
    <xf numFmtId="0" fontId="3" fillId="5" borderId="5" xfId="0" applyFont="1" applyFill="1" applyBorder="1" applyAlignment="1">
      <alignment horizontal="left" vertical="center" wrapText="1"/>
    </xf>
    <xf numFmtId="0" fontId="3" fillId="6" borderId="5" xfId="0" applyFont="1" applyFill="1" applyBorder="1" applyAlignment="1">
      <alignment horizontal="left" vertical="center" wrapText="1"/>
    </xf>
    <xf numFmtId="0" fontId="4" fillId="4" borderId="4" xfId="0" applyFont="1" applyFill="1" applyBorder="1" applyAlignment="1">
      <alignment horizontal="center" vertical="center" wrapText="1"/>
    </xf>
    <xf numFmtId="0" fontId="0" fillId="0" borderId="6" xfId="0" applyBorder="1"/>
    <xf numFmtId="0" fontId="0" fillId="0" borderId="3" xfId="0" applyBorder="1"/>
    <xf numFmtId="0" fontId="8" fillId="0" borderId="7" xfId="0" applyFont="1" applyFill="1" applyBorder="1" applyAlignment="1">
      <alignment horizontal="left" vertical="center" wrapText="1"/>
    </xf>
    <xf numFmtId="9" fontId="29" fillId="11" borderId="1" xfId="2" applyFont="1" applyFill="1" applyBorder="1" applyAlignment="1">
      <alignment horizontal="center" vertical="center" wrapText="1"/>
    </xf>
  </cellXfs>
  <cellStyles count="3">
    <cellStyle name="Hyperlink" xfId="1" builtinId="8"/>
    <cellStyle name="Normal" xfId="0" builtinId="0"/>
    <cellStyle name="Percent" xfId="2" builtinId="5"/>
  </cellStyles>
  <dxfs count="4">
    <dxf>
      <font>
        <b/>
        <sz val="9"/>
        <color rgb="FF000000"/>
        <name val="Arial"/>
        <charset val="1"/>
      </font>
      <fill>
        <patternFill>
          <bgColor rgb="FF70AD47"/>
        </patternFill>
      </fill>
    </dxf>
    <dxf>
      <font>
        <b/>
        <sz val="9"/>
        <color rgb="FF000000"/>
        <name val="Arial"/>
        <charset val="1"/>
      </font>
      <fill>
        <patternFill>
          <bgColor rgb="FFFF9900"/>
        </patternFill>
      </fill>
    </dxf>
    <dxf>
      <font>
        <b/>
        <sz val="9"/>
        <color rgb="FFFFFFFF"/>
        <name val="Arial"/>
        <charset val="1"/>
      </font>
      <fill>
        <patternFill>
          <bgColor rgb="FFFF0000"/>
        </patternFill>
      </fill>
    </dxf>
    <dxf>
      <font>
        <b/>
        <sz val="9"/>
        <color rgb="FFFFFFFF"/>
        <name val="Arial"/>
        <charset val="1"/>
      </font>
      <fill>
        <patternFill>
          <bgColor rgb="FFC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B"/>
      <rgbColor rgb="FF808000"/>
      <rgbColor rgb="FF800080"/>
      <rgbColor rgb="FF008080"/>
      <rgbColor rgb="FFC0C0C0"/>
      <rgbColor rgb="FF808080"/>
      <rgbColor rgb="FF9999FF"/>
      <rgbColor rgb="FF993366"/>
      <rgbColor rgb="FFFFFFCC"/>
      <rgbColor rgb="FFEBF3FB"/>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loblaw.ca/en/supply-chain/" TargetMode="External"/><Relationship Id="rId13" Type="http://schemas.openxmlformats.org/officeDocument/2006/relationships/hyperlink" Target="https://dis-prod.assetful.loblaw.ca/content/dam/loblaw-companies-limited/creative-assets/loblaw-ca/responsibility-/Loblaw%202025%20Priority%20ESG%20Disclosure%20Report_EN.pdf" TargetMode="External"/><Relationship Id="rId18" Type="http://schemas.openxmlformats.org/officeDocument/2006/relationships/hyperlink" Target="https://dis-prod.assetful.loblaw.ca/content/dam/loblaw-companies-limited/creative-assets/loblaw-ca/investor-relations-reports/annual/2025/LCL_2025%20Annual%20Report.pdf" TargetMode="External"/><Relationship Id="rId26" Type="http://schemas.openxmlformats.org/officeDocument/2006/relationships/hyperlink" Target="https://dis-prod.assetful.loblaw.ca/content/dam/loblaw-companies-limited/creative-assets/loblaw-ca/investor-relations-reports/annual/2025/LCL_2025%20Annual%20Report.pdf" TargetMode="External"/><Relationship Id="rId3" Type="http://schemas.openxmlformats.org/officeDocument/2006/relationships/hyperlink" Target="https://dis-prod.assetful.loblaw.ca/content/dam/loblaw-companies-limited/creative-assets/loblaw-ca/investor-relations-reports/annual/2025/LCL_Q4%202025_NR.pdf" TargetMode="External"/><Relationship Id="rId21" Type="http://schemas.openxmlformats.org/officeDocument/2006/relationships/hyperlink" Target="https://dis-prod.assetful.loblaw.ca/content/dam/loblaw-companies-limited/creative-assets/loblaw-ca/investor-relations-reports/annual/2025/LCL_2025%20Annual%20Report.pdf" TargetMode="External"/><Relationship Id="rId7" Type="http://schemas.openxmlformats.org/officeDocument/2006/relationships/hyperlink" Target="https://www.loblaw.ca/en/colleagues/" TargetMode="External"/><Relationship Id="rId12" Type="http://schemas.openxmlformats.org/officeDocument/2006/relationships/hyperlink" Target="https://www.loblaw.ca/en/colleagues/" TargetMode="External"/><Relationship Id="rId17" Type="http://schemas.openxmlformats.org/officeDocument/2006/relationships/hyperlink" Target="https://dis-prod.assetful.loblaw.ca/content/dam/loblaw-companies-limited/creative-assets/loblaw-ca/investor-relations-reports/annual/2025/LCL_2025%20Annual%20Report.pdf" TargetMode="External"/><Relationship Id="rId25" Type="http://schemas.openxmlformats.org/officeDocument/2006/relationships/hyperlink" Target="https://dis-prod.assetful.loblaw.ca/content/dam/loblaw-companies-limited/creative-assets/loblaw-ca/investor-relations-reports/annual/2025/LCL_2025%20Annual%20Report.pdf" TargetMode="External"/><Relationship Id="rId2" Type="http://schemas.openxmlformats.org/officeDocument/2006/relationships/hyperlink" Target="https://dis-prod.assetful.loblaw.ca/content/dam/loblaw-companies-limited/creative-assets/loblaw-ca/investor-relations-reports/annual/2025/LCL_Q4%202025_NR.pdf" TargetMode="External"/><Relationship Id="rId16" Type="http://schemas.openxmlformats.org/officeDocument/2006/relationships/hyperlink" Target="https://dis-prod.assetful.loblaw.ca/content/dam/loblaw-companies-limited/creative-assets/loblaw-ca/investor-relations-reports/annual/2024/Loblaw%20AIF%202024_EN.pdf" TargetMode="External"/><Relationship Id="rId20" Type="http://schemas.openxmlformats.org/officeDocument/2006/relationships/hyperlink" Target="https://dis-prod.assetful.loblaw.ca/content/dam/loblaw-companies-limited/creative-assets/loblaw-ca/investor-relations-reports/annual/2025/LCL_2025%20Annual%20Report.pdf" TargetMode="External"/><Relationship Id="rId1" Type="http://schemas.openxmlformats.org/officeDocument/2006/relationships/hyperlink" Target="https://www.loblaw.ca/en/loblaw-expects-to-invest-10-billion-into-the-canadian-economy-over-the-next-five-years-including-2-2-billion-in-2025/" TargetMode="External"/><Relationship Id="rId6" Type="http://schemas.openxmlformats.org/officeDocument/2006/relationships/hyperlink" Target="https://dis-prod.assetful.loblaw.ca/content/dam/loblaw-companies-limited/creative-assets/loblaw-ca/investor-relations-reports/annual/2025/LCL_Q4%202025_NR.pdf" TargetMode="External"/><Relationship Id="rId11" Type="http://schemas.openxmlformats.org/officeDocument/2006/relationships/hyperlink" Target="https://dis-prod.assetful.loblaw.ca/content/dam/loblaw-companies-limited/creative-assets/loblaw-ca/responsibility-/Loblaw%202025%20Priority%20ESG%20Disclosure%20Report_EN.pdf" TargetMode="External"/><Relationship Id="rId24" Type="http://schemas.openxmlformats.org/officeDocument/2006/relationships/hyperlink" Target="https://dis-prod.assetful.loblaw.ca/content/dam/loblaw-companies-limited/creative-assets/loblaw-ca/investor-relations-reports/annual/2025/LCL_2025%20Annual%20Report.pdf" TargetMode="External"/><Relationship Id="rId5" Type="http://schemas.openxmlformats.org/officeDocument/2006/relationships/hyperlink" Target="https://www.loblaw.ca/en/dei/" TargetMode="External"/><Relationship Id="rId15" Type="http://schemas.openxmlformats.org/officeDocument/2006/relationships/hyperlink" Target="https://www.loblaw.ca/en/colleagues/" TargetMode="External"/><Relationship Id="rId23" Type="http://schemas.openxmlformats.org/officeDocument/2006/relationships/hyperlink" Target="https://dis-prod.assetful.loblaw.ca/content/dam/loblaw-companies-limited/creative-assets/loblaw-ca/investor-relations-reports/annual/2025/LCL_2025%20Annual%20Report.pdf" TargetMode="External"/><Relationship Id="rId10" Type="http://schemas.openxmlformats.org/officeDocument/2006/relationships/hyperlink" Target="https://dis-prod.assetful.loblaw.ca/content/dam/loblaw-companies-limited/creative-assets/loblaw-ca/investor-relations-reports/annual/2025/LCL_Q4%202025_NR.pdf" TargetMode="External"/><Relationship Id="rId19" Type="http://schemas.openxmlformats.org/officeDocument/2006/relationships/hyperlink" Target="https://dis-prod.assetful.loblaw.ca/content/dam/loblaw-companies-limited/creative-assets/loblaw-ca/investor-relations-reports/annual/2025/LCL_2025%20Annual%20Report.pdf" TargetMode="External"/><Relationship Id="rId4" Type="http://schemas.openxmlformats.org/officeDocument/2006/relationships/hyperlink" Target="https://dis-prod.assetful.loblaw.ca/content/dam/loblaw-companies-limited/creative-assets/loblaw-ca/investor-relations-reports/annual/2024/Loblaw%20AIF%202024_EN.pdf" TargetMode="External"/><Relationship Id="rId9" Type="http://schemas.openxmlformats.org/officeDocument/2006/relationships/hyperlink" Target="https://www.loblaw.ca/en/supply-chain/" TargetMode="External"/><Relationship Id="rId14" Type="http://schemas.openxmlformats.org/officeDocument/2006/relationships/hyperlink" Target="https://dis-prod.assetful.loblaw.ca/content/dam/loblaw-companies-limited/creative-assets/loblaw-ca/investor-relations-reports/annual/2024/Loblaw%20AIF%202024_EN.pdf" TargetMode="External"/><Relationship Id="rId22" Type="http://schemas.openxmlformats.org/officeDocument/2006/relationships/hyperlink" Target="https://dis-prod.assetful.loblaw.ca/content/dam/loblaw-companies-limited/creative-assets/loblaw-ca/investor-relations-reports/annual/2025/LCL_2025%20Annual%20Re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5C45-22B9-4010-BEE9-514E7C4522AB}">
  <dimension ref="A1:P24"/>
  <sheetViews>
    <sheetView showGridLines="0" workbookViewId="0">
      <selection activeCell="B9" sqref="B9:O10"/>
    </sheetView>
  </sheetViews>
  <sheetFormatPr defaultRowHeight="14.4" x14ac:dyDescent="0.3"/>
  <cols>
    <col min="7" max="7" width="10.33203125" bestFit="1" customWidth="1"/>
  </cols>
  <sheetData>
    <row r="1" spans="1:16" x14ac:dyDescent="0.3">
      <c r="A1" s="65"/>
      <c r="B1" s="65"/>
      <c r="C1" s="65"/>
      <c r="D1" s="65"/>
      <c r="E1" s="65"/>
      <c r="F1" s="65"/>
      <c r="G1" s="65"/>
      <c r="H1" s="65"/>
      <c r="I1" s="65"/>
      <c r="J1" s="65"/>
      <c r="K1" s="65"/>
      <c r="L1" s="65"/>
      <c r="M1" s="65"/>
      <c r="N1" s="65"/>
      <c r="O1" s="65"/>
      <c r="P1" s="65"/>
    </row>
    <row r="2" spans="1:16" x14ac:dyDescent="0.3">
      <c r="A2" s="65"/>
      <c r="B2" s="65"/>
      <c r="C2" s="65"/>
      <c r="D2" s="65"/>
      <c r="E2" s="65"/>
      <c r="F2" s="65"/>
      <c r="G2" s="65"/>
      <c r="H2" s="65"/>
      <c r="I2" s="65"/>
      <c r="J2" s="65"/>
      <c r="K2" s="65"/>
      <c r="L2" s="65"/>
      <c r="M2" s="65"/>
      <c r="N2" s="65"/>
      <c r="O2" s="65"/>
      <c r="P2" s="65"/>
    </row>
    <row r="3" spans="1:16" x14ac:dyDescent="0.3">
      <c r="A3" s="65"/>
      <c r="B3" s="66" t="s">
        <v>328</v>
      </c>
      <c r="C3" s="66"/>
      <c r="D3" s="66"/>
      <c r="E3" s="66"/>
      <c r="F3" s="66"/>
      <c r="G3" s="66"/>
      <c r="H3" s="66"/>
      <c r="I3" s="66"/>
      <c r="J3" s="66"/>
      <c r="K3" s="65"/>
      <c r="L3" s="65"/>
      <c r="M3" s="65"/>
      <c r="N3" s="65"/>
      <c r="O3" s="65"/>
      <c r="P3" s="65"/>
    </row>
    <row r="4" spans="1:16" x14ac:dyDescent="0.3">
      <c r="A4" s="65"/>
      <c r="B4" s="66"/>
      <c r="C4" s="66"/>
      <c r="D4" s="66"/>
      <c r="E4" s="66"/>
      <c r="F4" s="66"/>
      <c r="G4" s="66"/>
      <c r="H4" s="66"/>
      <c r="I4" s="66"/>
      <c r="J4" s="66"/>
      <c r="K4" s="65"/>
      <c r="L4" s="65"/>
      <c r="M4" s="65"/>
      <c r="N4" s="65"/>
      <c r="O4" s="65"/>
      <c r="P4" s="65"/>
    </row>
    <row r="5" spans="1:16" ht="15.6" x14ac:dyDescent="0.3">
      <c r="A5" s="65"/>
      <c r="B5" s="67" t="s">
        <v>329</v>
      </c>
      <c r="C5" s="67"/>
      <c r="D5" s="67"/>
      <c r="E5" s="67"/>
      <c r="F5" s="67"/>
      <c r="G5" s="67"/>
      <c r="H5" s="68"/>
      <c r="I5" s="68"/>
      <c r="J5" s="68"/>
      <c r="K5" s="65"/>
      <c r="L5" s="65"/>
      <c r="M5" s="65"/>
      <c r="N5" s="65"/>
      <c r="O5" s="65"/>
      <c r="P5" s="65"/>
    </row>
    <row r="6" spans="1:16" x14ac:dyDescent="0.3">
      <c r="A6" s="65"/>
      <c r="B6" s="65"/>
      <c r="C6" s="65"/>
      <c r="D6" s="65"/>
      <c r="E6" s="65"/>
      <c r="F6" s="65"/>
      <c r="G6" s="65"/>
      <c r="H6" s="65"/>
      <c r="I6" s="65"/>
      <c r="J6" s="65"/>
      <c r="K6" s="65"/>
      <c r="L6" s="65"/>
      <c r="M6" s="65"/>
      <c r="N6" s="65"/>
      <c r="O6" s="65"/>
      <c r="P6" s="65"/>
    </row>
    <row r="7" spans="1:16" x14ac:dyDescent="0.3">
      <c r="A7" s="65"/>
      <c r="B7" s="65"/>
      <c r="C7" s="65"/>
      <c r="D7" s="65"/>
      <c r="E7" s="65"/>
      <c r="F7" s="65"/>
      <c r="G7" s="65"/>
      <c r="H7" s="65"/>
      <c r="I7" s="65"/>
      <c r="J7" s="65"/>
      <c r="K7" s="65"/>
      <c r="L7" s="65"/>
      <c r="M7" s="65"/>
      <c r="N7" s="65"/>
      <c r="O7" s="65"/>
      <c r="P7" s="65"/>
    </row>
    <row r="8" spans="1:16" x14ac:dyDescent="0.3">
      <c r="A8" s="65"/>
      <c r="B8" s="65"/>
      <c r="C8" s="65"/>
      <c r="D8" s="65"/>
      <c r="E8" s="65"/>
      <c r="F8" s="65"/>
      <c r="G8" s="65"/>
      <c r="H8" s="65"/>
      <c r="I8" s="65"/>
      <c r="J8" s="65"/>
      <c r="K8" s="65"/>
      <c r="L8" s="65"/>
      <c r="M8" s="65"/>
      <c r="N8" s="65"/>
      <c r="O8" s="65"/>
      <c r="P8" s="65"/>
    </row>
    <row r="9" spans="1:16" x14ac:dyDescent="0.3">
      <c r="A9" s="65"/>
      <c r="B9" s="77" t="s">
        <v>344</v>
      </c>
      <c r="C9" s="77"/>
      <c r="D9" s="77"/>
      <c r="E9" s="77"/>
      <c r="F9" s="77"/>
      <c r="G9" s="77"/>
      <c r="H9" s="77"/>
      <c r="I9" s="77"/>
      <c r="J9" s="77"/>
      <c r="K9" s="77"/>
      <c r="L9" s="77"/>
      <c r="M9" s="77"/>
      <c r="N9" s="77"/>
      <c r="O9" s="77"/>
      <c r="P9" s="65"/>
    </row>
    <row r="10" spans="1:16" x14ac:dyDescent="0.3">
      <c r="A10" s="65"/>
      <c r="B10" s="77"/>
      <c r="C10" s="77"/>
      <c r="D10" s="77"/>
      <c r="E10" s="77"/>
      <c r="F10" s="77"/>
      <c r="G10" s="77"/>
      <c r="H10" s="77"/>
      <c r="I10" s="77"/>
      <c r="J10" s="77"/>
      <c r="K10" s="77"/>
      <c r="L10" s="77"/>
      <c r="M10" s="77"/>
      <c r="N10" s="77"/>
      <c r="O10" s="77"/>
      <c r="P10" s="65"/>
    </row>
    <row r="11" spans="1:16" x14ac:dyDescent="0.3">
      <c r="A11" s="65"/>
      <c r="B11" s="65"/>
      <c r="C11" s="65"/>
      <c r="D11" s="65"/>
      <c r="E11" s="65"/>
      <c r="F11" s="65"/>
      <c r="G11" s="65"/>
      <c r="H11" s="65"/>
      <c r="I11" s="65"/>
      <c r="J11" s="65"/>
      <c r="K11" s="65"/>
      <c r="L11" s="65"/>
      <c r="M11" s="65"/>
      <c r="N11" s="65"/>
      <c r="O11" s="65"/>
      <c r="P11" s="65"/>
    </row>
    <row r="12" spans="1:16" x14ac:dyDescent="0.3">
      <c r="A12" s="65"/>
      <c r="B12" s="65"/>
      <c r="C12" s="65"/>
      <c r="D12" s="65"/>
      <c r="E12" s="65"/>
      <c r="F12" s="65"/>
      <c r="G12" s="65"/>
      <c r="H12" s="65"/>
      <c r="I12" s="65"/>
      <c r="J12" s="65"/>
      <c r="K12" s="65"/>
      <c r="L12" s="65"/>
      <c r="M12" s="65"/>
      <c r="N12" s="65"/>
      <c r="O12" s="65"/>
      <c r="P12" s="65"/>
    </row>
    <row r="15" spans="1:16" x14ac:dyDescent="0.3">
      <c r="B15" s="73" t="s">
        <v>330</v>
      </c>
      <c r="C15" s="73"/>
      <c r="D15" s="70"/>
      <c r="E15" s="70"/>
      <c r="F15" s="70"/>
      <c r="G15" s="70" t="s">
        <v>331</v>
      </c>
      <c r="H15" s="70"/>
      <c r="I15" s="70"/>
      <c r="J15" s="70"/>
      <c r="K15" s="70"/>
    </row>
    <row r="16" spans="1:16" x14ac:dyDescent="0.3">
      <c r="B16" s="73" t="s">
        <v>332</v>
      </c>
      <c r="C16" s="73"/>
      <c r="D16" s="70"/>
      <c r="E16" s="70"/>
      <c r="F16" s="70"/>
      <c r="G16" s="70" t="s">
        <v>333</v>
      </c>
      <c r="H16" s="70"/>
      <c r="I16" s="70"/>
      <c r="J16" s="70"/>
      <c r="K16" s="70"/>
    </row>
    <row r="17" spans="2:16" x14ac:dyDescent="0.3">
      <c r="B17" s="73" t="s">
        <v>334</v>
      </c>
      <c r="C17" s="73"/>
      <c r="D17" s="70"/>
      <c r="E17" s="70"/>
      <c r="F17" s="70"/>
      <c r="G17" s="71">
        <v>46113</v>
      </c>
      <c r="H17" s="70"/>
      <c r="I17" s="70"/>
      <c r="J17" s="70"/>
      <c r="K17" s="70"/>
    </row>
    <row r="18" spans="2:16" x14ac:dyDescent="0.3">
      <c r="B18" s="70"/>
      <c r="C18" s="70"/>
      <c r="D18" s="70"/>
      <c r="E18" s="70"/>
      <c r="F18" s="70"/>
      <c r="G18" s="70"/>
      <c r="H18" s="70"/>
      <c r="I18" s="70"/>
      <c r="J18" s="70"/>
      <c r="K18" s="70"/>
    </row>
    <row r="19" spans="2:16" x14ac:dyDescent="0.3">
      <c r="B19" s="70"/>
      <c r="C19" s="70"/>
      <c r="D19" s="70"/>
      <c r="E19" s="70"/>
      <c r="F19" s="70"/>
      <c r="G19" s="70"/>
      <c r="H19" s="70"/>
      <c r="I19" s="70"/>
      <c r="J19" s="70"/>
      <c r="K19" s="70"/>
    </row>
    <row r="20" spans="2:16" x14ac:dyDescent="0.3">
      <c r="B20" s="72" t="s">
        <v>335</v>
      </c>
      <c r="C20" s="72"/>
      <c r="D20" s="72"/>
      <c r="E20" s="72"/>
      <c r="F20" s="72"/>
      <c r="G20" s="72"/>
      <c r="H20" s="72"/>
      <c r="I20" s="72"/>
      <c r="J20" s="72"/>
      <c r="K20" s="72"/>
      <c r="L20" s="69"/>
      <c r="M20" s="69"/>
      <c r="N20" s="69"/>
      <c r="O20" s="69"/>
      <c r="P20" s="69"/>
    </row>
    <row r="21" spans="2:16" x14ac:dyDescent="0.3">
      <c r="B21" s="73" t="s">
        <v>336</v>
      </c>
      <c r="C21" s="73"/>
      <c r="D21" s="70"/>
      <c r="E21" s="70"/>
      <c r="F21" s="70"/>
      <c r="G21" s="70" t="s">
        <v>337</v>
      </c>
      <c r="H21" s="70"/>
      <c r="I21" s="70"/>
      <c r="J21" s="70"/>
      <c r="K21" s="70"/>
    </row>
    <row r="22" spans="2:16" x14ac:dyDescent="0.3">
      <c r="B22" s="74" t="s">
        <v>338</v>
      </c>
      <c r="C22" s="74"/>
      <c r="D22" s="75"/>
      <c r="E22" s="75"/>
      <c r="F22" s="75"/>
      <c r="G22" s="75" t="s">
        <v>343</v>
      </c>
      <c r="H22" s="75"/>
      <c r="I22" s="75"/>
      <c r="J22" s="75"/>
      <c r="K22" s="75"/>
      <c r="L22" s="76"/>
      <c r="M22" s="76"/>
      <c r="N22" s="76"/>
      <c r="O22" s="76"/>
    </row>
    <row r="23" spans="2:16" x14ac:dyDescent="0.3">
      <c r="B23" s="73" t="s">
        <v>339</v>
      </c>
      <c r="C23" s="73"/>
      <c r="D23" s="70"/>
      <c r="E23" s="70"/>
      <c r="F23" s="70"/>
      <c r="G23" s="70" t="s">
        <v>340</v>
      </c>
      <c r="H23" s="70"/>
      <c r="I23" s="70"/>
      <c r="J23" s="70"/>
      <c r="K23" s="70"/>
    </row>
    <row r="24" spans="2:16" x14ac:dyDescent="0.3">
      <c r="B24" s="74" t="s">
        <v>341</v>
      </c>
      <c r="C24" s="74"/>
      <c r="D24" s="75"/>
      <c r="E24" s="75"/>
      <c r="F24" s="75"/>
      <c r="G24" s="75" t="s">
        <v>342</v>
      </c>
      <c r="H24" s="75"/>
      <c r="I24" s="75"/>
      <c r="J24" s="75"/>
      <c r="K24" s="75"/>
      <c r="L24" s="76"/>
      <c r="M24" s="76"/>
      <c r="N24" s="76"/>
      <c r="O24" s="76"/>
    </row>
  </sheetData>
  <mergeCells count="10">
    <mergeCell ref="B21:C21"/>
    <mergeCell ref="B22:C22"/>
    <mergeCell ref="B23:C23"/>
    <mergeCell ref="B24:C24"/>
    <mergeCell ref="B9:O10"/>
    <mergeCell ref="B3:J4"/>
    <mergeCell ref="B5:G5"/>
    <mergeCell ref="B15:C15"/>
    <mergeCell ref="B16:C16"/>
    <mergeCell ref="B17: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0"/>
  <sheetViews>
    <sheetView showGridLines="0" tabSelected="1" zoomScale="115" zoomScaleNormal="100" workbookViewId="0">
      <pane ySplit="4" topLeftCell="A27" activePane="bottomLeft" state="frozen"/>
      <selection pane="bottomLeft" activeCell="E28" sqref="E28"/>
    </sheetView>
  </sheetViews>
  <sheetFormatPr defaultColWidth="8.6640625" defaultRowHeight="14.4" x14ac:dyDescent="0.3"/>
  <cols>
    <col min="1" max="1" width="8.6640625" bestFit="1" customWidth="1"/>
    <col min="2" max="2" width="21.21875" bestFit="1" customWidth="1"/>
    <col min="3" max="3" width="12.33203125" bestFit="1" customWidth="1"/>
    <col min="4" max="4" width="16" customWidth="1"/>
    <col min="5" max="5" width="44" customWidth="1"/>
    <col min="6" max="6" width="13.44140625" bestFit="1" customWidth="1"/>
    <col min="7" max="7" width="10.33203125" bestFit="1" customWidth="1"/>
    <col min="8" max="8" width="9.88671875" bestFit="1" customWidth="1"/>
    <col min="9" max="9" width="9.6640625" bestFit="1" customWidth="1"/>
    <col min="10" max="10" width="17.5546875" bestFit="1" customWidth="1"/>
    <col min="11" max="11" width="42" customWidth="1"/>
    <col min="12" max="12" width="21.6640625" bestFit="1" customWidth="1"/>
    <col min="13" max="13" width="13.21875" bestFit="1" customWidth="1"/>
    <col min="14" max="14" width="11.88671875" bestFit="1" customWidth="1"/>
    <col min="15" max="15" width="46.21875" bestFit="1" customWidth="1"/>
    <col min="16" max="16" width="30" customWidth="1"/>
  </cols>
  <sheetData>
    <row r="1" spans="1:16" ht="17.399999999999999" x14ac:dyDescent="0.3">
      <c r="A1" s="64" t="s">
        <v>326</v>
      </c>
      <c r="B1" s="7"/>
      <c r="C1" s="7"/>
      <c r="D1" s="7"/>
      <c r="E1" s="7"/>
      <c r="F1" s="7"/>
      <c r="G1" s="7"/>
      <c r="H1" s="7"/>
      <c r="I1" s="7"/>
      <c r="J1" s="7"/>
      <c r="K1" s="7"/>
      <c r="L1" s="7"/>
      <c r="M1" s="7"/>
      <c r="N1" s="7"/>
      <c r="O1" s="7"/>
      <c r="P1" s="7"/>
    </row>
    <row r="2" spans="1:16" x14ac:dyDescent="0.3">
      <c r="A2" s="63" t="s">
        <v>327</v>
      </c>
      <c r="B2" s="6"/>
      <c r="C2" s="6"/>
      <c r="D2" s="6"/>
      <c r="E2" s="6"/>
      <c r="F2" s="6"/>
      <c r="G2" s="6"/>
      <c r="H2" s="6"/>
      <c r="I2" s="6"/>
      <c r="J2" s="6"/>
      <c r="K2" s="6"/>
      <c r="L2" s="6"/>
      <c r="M2" s="6"/>
      <c r="N2" s="6"/>
      <c r="O2" s="6"/>
      <c r="P2" s="6"/>
    </row>
    <row r="4" spans="1:16" ht="24" x14ac:dyDescent="0.3">
      <c r="A4" s="8" t="s">
        <v>0</v>
      </c>
      <c r="B4" s="8" t="s">
        <v>1</v>
      </c>
      <c r="C4" s="8" t="s">
        <v>2</v>
      </c>
      <c r="D4" s="8" t="s">
        <v>3</v>
      </c>
      <c r="E4" s="8" t="s">
        <v>4</v>
      </c>
      <c r="F4" s="8" t="s">
        <v>5</v>
      </c>
      <c r="G4" s="8" t="s">
        <v>6</v>
      </c>
      <c r="H4" s="8" t="s">
        <v>7</v>
      </c>
      <c r="I4" s="8" t="s">
        <v>8</v>
      </c>
      <c r="J4" s="8" t="s">
        <v>9</v>
      </c>
      <c r="K4" s="8" t="s">
        <v>10</v>
      </c>
      <c r="L4" s="8" t="s">
        <v>11</v>
      </c>
      <c r="M4" s="8" t="s">
        <v>12</v>
      </c>
      <c r="N4" s="8" t="s">
        <v>13</v>
      </c>
      <c r="O4" s="8" t="s">
        <v>14</v>
      </c>
      <c r="P4" s="8" t="s">
        <v>15</v>
      </c>
    </row>
    <row r="5" spans="1:16" ht="68.400000000000006" x14ac:dyDescent="0.3">
      <c r="A5" s="9" t="s">
        <v>16</v>
      </c>
      <c r="B5" s="10" t="s">
        <v>17</v>
      </c>
      <c r="C5" s="9" t="s">
        <v>18</v>
      </c>
      <c r="D5" s="11" t="s">
        <v>19</v>
      </c>
      <c r="E5" s="11" t="s">
        <v>20</v>
      </c>
      <c r="F5" s="12">
        <v>4</v>
      </c>
      <c r="G5" s="12">
        <v>5</v>
      </c>
      <c r="H5" s="43">
        <f t="shared" ref="H5:H30" si="0">F5*G5</f>
        <v>20</v>
      </c>
      <c r="I5" s="13" t="str">
        <f t="shared" ref="I5:I30" si="1">IF(H5&gt;=20,"Critical",IF(H5&gt;=12,"High",IF(H5&gt;=6,"Medium","Low")))</f>
        <v>Critical</v>
      </c>
      <c r="J5" s="11" t="s">
        <v>21</v>
      </c>
      <c r="K5" s="57" t="s">
        <v>319</v>
      </c>
      <c r="L5" s="58" t="s">
        <v>22</v>
      </c>
      <c r="M5" s="9" t="s">
        <v>23</v>
      </c>
      <c r="N5" s="14" t="s">
        <v>24</v>
      </c>
      <c r="O5" s="15" t="s">
        <v>25</v>
      </c>
      <c r="P5" s="11" t="s">
        <v>346</v>
      </c>
    </row>
    <row r="6" spans="1:16" ht="68.400000000000006" x14ac:dyDescent="0.3">
      <c r="A6" s="16" t="s">
        <v>26</v>
      </c>
      <c r="B6" s="17" t="s">
        <v>27</v>
      </c>
      <c r="C6" s="16" t="s">
        <v>18</v>
      </c>
      <c r="D6" s="18" t="s">
        <v>28</v>
      </c>
      <c r="E6" s="18" t="s">
        <v>29</v>
      </c>
      <c r="F6" s="19">
        <v>4</v>
      </c>
      <c r="G6" s="19">
        <v>5</v>
      </c>
      <c r="H6" s="44">
        <f t="shared" si="0"/>
        <v>20</v>
      </c>
      <c r="I6" s="20" t="str">
        <f t="shared" si="1"/>
        <v>Critical</v>
      </c>
      <c r="J6" s="18" t="s">
        <v>30</v>
      </c>
      <c r="K6" s="18" t="s">
        <v>31</v>
      </c>
      <c r="L6" s="59" t="s">
        <v>32</v>
      </c>
      <c r="M6" s="16" t="s">
        <v>23</v>
      </c>
      <c r="N6" s="21" t="s">
        <v>33</v>
      </c>
      <c r="O6" s="22" t="s">
        <v>34</v>
      </c>
      <c r="P6" s="18" t="s">
        <v>35</v>
      </c>
    </row>
    <row r="7" spans="1:16" ht="57" x14ac:dyDescent="0.3">
      <c r="A7" s="9" t="s">
        <v>36</v>
      </c>
      <c r="B7" s="10" t="s">
        <v>37</v>
      </c>
      <c r="C7" s="9" t="s">
        <v>18</v>
      </c>
      <c r="D7" s="11" t="s">
        <v>28</v>
      </c>
      <c r="E7" s="11" t="s">
        <v>38</v>
      </c>
      <c r="F7" s="12">
        <v>3</v>
      </c>
      <c r="G7" s="12">
        <v>4</v>
      </c>
      <c r="H7" s="43">
        <f t="shared" si="0"/>
        <v>12</v>
      </c>
      <c r="I7" s="13" t="str">
        <f t="shared" si="1"/>
        <v>High</v>
      </c>
      <c r="J7" s="11" t="s">
        <v>39</v>
      </c>
      <c r="K7" s="11" t="s">
        <v>40</v>
      </c>
      <c r="L7" s="58" t="s">
        <v>41</v>
      </c>
      <c r="M7" s="9" t="s">
        <v>23</v>
      </c>
      <c r="N7" s="14" t="s">
        <v>42</v>
      </c>
      <c r="O7" s="15" t="s">
        <v>43</v>
      </c>
      <c r="P7" s="11" t="s">
        <v>44</v>
      </c>
    </row>
    <row r="8" spans="1:16" ht="68.400000000000006" x14ac:dyDescent="0.3">
      <c r="A8" s="16" t="s">
        <v>45</v>
      </c>
      <c r="B8" s="17" t="s">
        <v>46</v>
      </c>
      <c r="C8" s="16" t="s">
        <v>18</v>
      </c>
      <c r="D8" s="18" t="s">
        <v>47</v>
      </c>
      <c r="E8" s="18" t="s">
        <v>48</v>
      </c>
      <c r="F8" s="19">
        <v>4</v>
      </c>
      <c r="G8" s="19">
        <v>4</v>
      </c>
      <c r="H8" s="44">
        <f t="shared" si="0"/>
        <v>16</v>
      </c>
      <c r="I8" s="20" t="str">
        <f t="shared" si="1"/>
        <v>High</v>
      </c>
      <c r="J8" s="18" t="s">
        <v>49</v>
      </c>
      <c r="K8" s="18" t="s">
        <v>50</v>
      </c>
      <c r="L8" s="60" t="s">
        <v>41</v>
      </c>
      <c r="M8" s="16" t="s">
        <v>23</v>
      </c>
      <c r="N8" s="21" t="s">
        <v>51</v>
      </c>
      <c r="O8" s="22" t="s">
        <v>52</v>
      </c>
      <c r="P8" s="18" t="s">
        <v>53</v>
      </c>
    </row>
    <row r="9" spans="1:16" ht="79.8" x14ac:dyDescent="0.3">
      <c r="A9" s="9" t="s">
        <v>54</v>
      </c>
      <c r="B9" s="10" t="s">
        <v>55</v>
      </c>
      <c r="C9" s="9" t="s">
        <v>18</v>
      </c>
      <c r="D9" s="11" t="s">
        <v>56</v>
      </c>
      <c r="E9" s="11" t="s">
        <v>57</v>
      </c>
      <c r="F9" s="12">
        <v>3</v>
      </c>
      <c r="G9" s="12">
        <v>4</v>
      </c>
      <c r="H9" s="43">
        <f t="shared" si="0"/>
        <v>12</v>
      </c>
      <c r="I9" s="13" t="str">
        <f t="shared" si="1"/>
        <v>High</v>
      </c>
      <c r="J9" s="11" t="s">
        <v>58</v>
      </c>
      <c r="K9" s="57" t="s">
        <v>320</v>
      </c>
      <c r="L9" s="58" t="s">
        <v>59</v>
      </c>
      <c r="M9" s="9" t="s">
        <v>23</v>
      </c>
      <c r="N9" s="14" t="s">
        <v>60</v>
      </c>
      <c r="O9" s="15" t="s">
        <v>61</v>
      </c>
      <c r="P9" s="11" t="s">
        <v>62</v>
      </c>
    </row>
    <row r="10" spans="1:16" ht="68.400000000000006" x14ac:dyDescent="0.3">
      <c r="A10" s="16" t="s">
        <v>63</v>
      </c>
      <c r="B10" s="17" t="s">
        <v>64</v>
      </c>
      <c r="C10" s="16" t="s">
        <v>18</v>
      </c>
      <c r="D10" s="18" t="s">
        <v>65</v>
      </c>
      <c r="E10" s="18" t="s">
        <v>66</v>
      </c>
      <c r="F10" s="19">
        <v>3</v>
      </c>
      <c r="G10" s="19">
        <v>3</v>
      </c>
      <c r="H10" s="44">
        <f t="shared" si="0"/>
        <v>9</v>
      </c>
      <c r="I10" s="20" t="str">
        <f t="shared" si="1"/>
        <v>Medium</v>
      </c>
      <c r="J10" s="18" t="s">
        <v>67</v>
      </c>
      <c r="K10" s="18" t="s">
        <v>68</v>
      </c>
      <c r="L10" s="59" t="s">
        <v>32</v>
      </c>
      <c r="M10" s="16" t="s">
        <v>23</v>
      </c>
      <c r="N10" s="21" t="s">
        <v>60</v>
      </c>
      <c r="O10" s="22" t="s">
        <v>69</v>
      </c>
      <c r="P10" s="18" t="s">
        <v>70</v>
      </c>
    </row>
    <row r="11" spans="1:16" ht="79.8" x14ac:dyDescent="0.3">
      <c r="A11" s="9" t="s">
        <v>71</v>
      </c>
      <c r="B11" s="10" t="s">
        <v>72</v>
      </c>
      <c r="C11" s="9" t="s">
        <v>18</v>
      </c>
      <c r="D11" s="11" t="s">
        <v>73</v>
      </c>
      <c r="E11" s="11" t="s">
        <v>74</v>
      </c>
      <c r="F11" s="12">
        <v>3</v>
      </c>
      <c r="G11" s="12">
        <v>3</v>
      </c>
      <c r="H11" s="43">
        <f t="shared" si="0"/>
        <v>9</v>
      </c>
      <c r="I11" s="13" t="str">
        <f t="shared" si="1"/>
        <v>Medium</v>
      </c>
      <c r="J11" s="11" t="s">
        <v>73</v>
      </c>
      <c r="K11" s="11" t="s">
        <v>75</v>
      </c>
      <c r="L11" s="58" t="s">
        <v>76</v>
      </c>
      <c r="M11" s="9" t="s">
        <v>23</v>
      </c>
      <c r="N11" s="14" t="s">
        <v>77</v>
      </c>
      <c r="O11" s="15" t="s">
        <v>78</v>
      </c>
      <c r="P11" s="11" t="s">
        <v>347</v>
      </c>
    </row>
    <row r="12" spans="1:16" ht="68.400000000000006" x14ac:dyDescent="0.3">
      <c r="A12" s="16" t="s">
        <v>79</v>
      </c>
      <c r="B12" s="17" t="s">
        <v>80</v>
      </c>
      <c r="C12" s="16" t="s">
        <v>18</v>
      </c>
      <c r="D12" s="18" t="s">
        <v>81</v>
      </c>
      <c r="E12" s="18" t="s">
        <v>82</v>
      </c>
      <c r="F12" s="19">
        <v>3</v>
      </c>
      <c r="G12" s="19">
        <v>3</v>
      </c>
      <c r="H12" s="44">
        <f t="shared" si="0"/>
        <v>9</v>
      </c>
      <c r="I12" s="20" t="str">
        <f t="shared" si="1"/>
        <v>Medium</v>
      </c>
      <c r="J12" s="18" t="s">
        <v>81</v>
      </c>
      <c r="K12" s="18" t="s">
        <v>83</v>
      </c>
      <c r="L12" s="60" t="s">
        <v>41</v>
      </c>
      <c r="M12" s="16" t="s">
        <v>23</v>
      </c>
      <c r="N12" s="21" t="s">
        <v>84</v>
      </c>
      <c r="O12" s="22" t="s">
        <v>85</v>
      </c>
      <c r="P12" s="18" t="s">
        <v>86</v>
      </c>
    </row>
    <row r="13" spans="1:16" ht="68.400000000000006" x14ac:dyDescent="0.3">
      <c r="A13" s="9" t="s">
        <v>87</v>
      </c>
      <c r="B13" s="10" t="s">
        <v>88</v>
      </c>
      <c r="C13" s="9" t="s">
        <v>18</v>
      </c>
      <c r="D13" s="11" t="s">
        <v>89</v>
      </c>
      <c r="E13" s="11" t="s">
        <v>90</v>
      </c>
      <c r="F13" s="12">
        <v>3</v>
      </c>
      <c r="G13" s="12">
        <v>3</v>
      </c>
      <c r="H13" s="43">
        <f t="shared" si="0"/>
        <v>9</v>
      </c>
      <c r="I13" s="13" t="str">
        <f t="shared" si="1"/>
        <v>Medium</v>
      </c>
      <c r="J13" s="11" t="s">
        <v>91</v>
      </c>
      <c r="K13" s="11" t="s">
        <v>92</v>
      </c>
      <c r="L13" s="61" t="s">
        <v>32</v>
      </c>
      <c r="M13" s="9" t="s">
        <v>23</v>
      </c>
      <c r="N13" s="14" t="s">
        <v>84</v>
      </c>
      <c r="O13" s="15" t="s">
        <v>93</v>
      </c>
      <c r="P13" s="11" t="s">
        <v>94</v>
      </c>
    </row>
    <row r="14" spans="1:16" ht="79.8" x14ac:dyDescent="0.3">
      <c r="A14" s="16" t="s">
        <v>95</v>
      </c>
      <c r="B14" s="17" t="s">
        <v>96</v>
      </c>
      <c r="C14" s="16" t="s">
        <v>18</v>
      </c>
      <c r="D14" s="18" t="s">
        <v>97</v>
      </c>
      <c r="E14" s="18" t="s">
        <v>98</v>
      </c>
      <c r="F14" s="19">
        <v>3</v>
      </c>
      <c r="G14" s="19">
        <v>4</v>
      </c>
      <c r="H14" s="44">
        <f t="shared" si="0"/>
        <v>12</v>
      </c>
      <c r="I14" s="20" t="str">
        <f t="shared" si="1"/>
        <v>High</v>
      </c>
      <c r="J14" s="18" t="s">
        <v>99</v>
      </c>
      <c r="K14" s="18" t="s">
        <v>100</v>
      </c>
      <c r="L14" s="60" t="s">
        <v>101</v>
      </c>
      <c r="M14" s="16" t="s">
        <v>23</v>
      </c>
      <c r="N14" s="21" t="s">
        <v>84</v>
      </c>
      <c r="O14" s="22" t="s">
        <v>102</v>
      </c>
      <c r="P14" s="18" t="s">
        <v>103</v>
      </c>
    </row>
    <row r="15" spans="1:16" ht="79.8" x14ac:dyDescent="0.3">
      <c r="A15" s="9" t="s">
        <v>104</v>
      </c>
      <c r="B15" s="10" t="s">
        <v>105</v>
      </c>
      <c r="C15" s="9" t="s">
        <v>18</v>
      </c>
      <c r="D15" s="11" t="s">
        <v>106</v>
      </c>
      <c r="E15" s="11" t="s">
        <v>107</v>
      </c>
      <c r="F15" s="12">
        <v>3</v>
      </c>
      <c r="G15" s="12">
        <v>3</v>
      </c>
      <c r="H15" s="43">
        <f t="shared" si="0"/>
        <v>9</v>
      </c>
      <c r="I15" s="13" t="str">
        <f t="shared" si="1"/>
        <v>Medium</v>
      </c>
      <c r="J15" s="11" t="s">
        <v>108</v>
      </c>
      <c r="K15" s="57" t="s">
        <v>109</v>
      </c>
      <c r="L15" s="58" t="s">
        <v>110</v>
      </c>
      <c r="M15" s="9" t="s">
        <v>23</v>
      </c>
      <c r="N15" s="14" t="s">
        <v>111</v>
      </c>
      <c r="O15" s="15" t="s">
        <v>112</v>
      </c>
      <c r="P15" s="11" t="s">
        <v>113</v>
      </c>
    </row>
    <row r="16" spans="1:16" ht="91.2" x14ac:dyDescent="0.3">
      <c r="A16" s="16" t="s">
        <v>114</v>
      </c>
      <c r="B16" s="17" t="s">
        <v>115</v>
      </c>
      <c r="C16" s="16" t="s">
        <v>18</v>
      </c>
      <c r="D16" s="18" t="s">
        <v>116</v>
      </c>
      <c r="E16" s="18" t="s">
        <v>117</v>
      </c>
      <c r="F16" s="19">
        <v>2</v>
      </c>
      <c r="G16" s="19">
        <v>5</v>
      </c>
      <c r="H16" s="44">
        <f t="shared" si="0"/>
        <v>10</v>
      </c>
      <c r="I16" s="20" t="str">
        <f t="shared" si="1"/>
        <v>Medium</v>
      </c>
      <c r="J16" s="18" t="s">
        <v>118</v>
      </c>
      <c r="K16" s="47" t="s">
        <v>321</v>
      </c>
      <c r="L16" s="60" t="s">
        <v>110</v>
      </c>
      <c r="M16" s="16" t="s">
        <v>23</v>
      </c>
      <c r="N16" s="21" t="s">
        <v>119</v>
      </c>
      <c r="O16" s="22" t="s">
        <v>120</v>
      </c>
      <c r="P16" s="18" t="s">
        <v>348</v>
      </c>
    </row>
    <row r="17" spans="1:16" ht="79.8" x14ac:dyDescent="0.3">
      <c r="A17" s="9" t="s">
        <v>121</v>
      </c>
      <c r="B17" s="10" t="s">
        <v>122</v>
      </c>
      <c r="C17" s="9" t="s">
        <v>18</v>
      </c>
      <c r="D17" s="11" t="s">
        <v>123</v>
      </c>
      <c r="E17" s="11" t="s">
        <v>124</v>
      </c>
      <c r="F17" s="12">
        <v>4</v>
      </c>
      <c r="G17" s="12">
        <v>4</v>
      </c>
      <c r="H17" s="43">
        <f t="shared" si="0"/>
        <v>16</v>
      </c>
      <c r="I17" s="13" t="str">
        <f t="shared" si="1"/>
        <v>High</v>
      </c>
      <c r="J17" s="11" t="s">
        <v>125</v>
      </c>
      <c r="K17" s="11" t="s">
        <v>126</v>
      </c>
      <c r="L17" s="58" t="s">
        <v>41</v>
      </c>
      <c r="M17" s="9" t="s">
        <v>23</v>
      </c>
      <c r="N17" s="14" t="s">
        <v>119</v>
      </c>
      <c r="O17" s="15" t="s">
        <v>127</v>
      </c>
      <c r="P17" s="11" t="s">
        <v>349</v>
      </c>
    </row>
    <row r="18" spans="1:16" ht="79.8" x14ac:dyDescent="0.3">
      <c r="A18" s="16" t="s">
        <v>128</v>
      </c>
      <c r="B18" s="17" t="s">
        <v>129</v>
      </c>
      <c r="C18" s="16" t="s">
        <v>18</v>
      </c>
      <c r="D18" s="18" t="s">
        <v>56</v>
      </c>
      <c r="E18" s="18" t="s">
        <v>130</v>
      </c>
      <c r="F18" s="19">
        <v>3</v>
      </c>
      <c r="G18" s="19">
        <v>3</v>
      </c>
      <c r="H18" s="44">
        <f t="shared" si="0"/>
        <v>9</v>
      </c>
      <c r="I18" s="20" t="str">
        <f t="shared" si="1"/>
        <v>Medium</v>
      </c>
      <c r="J18" s="18" t="s">
        <v>131</v>
      </c>
      <c r="K18" s="18" t="s">
        <v>132</v>
      </c>
      <c r="L18" s="60" t="s">
        <v>133</v>
      </c>
      <c r="M18" s="16" t="s">
        <v>23</v>
      </c>
      <c r="N18" s="21" t="s">
        <v>134</v>
      </c>
      <c r="O18" s="22" t="s">
        <v>135</v>
      </c>
      <c r="P18" s="18" t="s">
        <v>350</v>
      </c>
    </row>
    <row r="19" spans="1:16" ht="91.2" x14ac:dyDescent="0.3">
      <c r="A19" s="9" t="s">
        <v>136</v>
      </c>
      <c r="B19" s="10" t="s">
        <v>137</v>
      </c>
      <c r="C19" s="9" t="s">
        <v>18</v>
      </c>
      <c r="D19" s="11" t="s">
        <v>73</v>
      </c>
      <c r="E19" s="11" t="s">
        <v>138</v>
      </c>
      <c r="F19" s="12">
        <v>3</v>
      </c>
      <c r="G19" s="12">
        <v>4</v>
      </c>
      <c r="H19" s="43">
        <f t="shared" si="0"/>
        <v>12</v>
      </c>
      <c r="I19" s="13" t="str">
        <f t="shared" si="1"/>
        <v>High</v>
      </c>
      <c r="J19" s="11" t="s">
        <v>139</v>
      </c>
      <c r="K19" s="11" t="s">
        <v>140</v>
      </c>
      <c r="L19" s="58" t="s">
        <v>101</v>
      </c>
      <c r="M19" s="9" t="s">
        <v>23</v>
      </c>
      <c r="N19" s="14" t="s">
        <v>141</v>
      </c>
      <c r="O19" s="15" t="s">
        <v>142</v>
      </c>
      <c r="P19" s="11" t="s">
        <v>351</v>
      </c>
    </row>
    <row r="20" spans="1:16" ht="91.2" x14ac:dyDescent="0.3">
      <c r="A20" s="16" t="s">
        <v>143</v>
      </c>
      <c r="B20" s="17" t="s">
        <v>144</v>
      </c>
      <c r="C20" s="16" t="s">
        <v>18</v>
      </c>
      <c r="D20" s="18" t="s">
        <v>145</v>
      </c>
      <c r="E20" s="18" t="s">
        <v>146</v>
      </c>
      <c r="F20" s="19">
        <v>2</v>
      </c>
      <c r="G20" s="19">
        <v>3</v>
      </c>
      <c r="H20" s="44">
        <f t="shared" si="0"/>
        <v>6</v>
      </c>
      <c r="I20" s="20" t="str">
        <f t="shared" si="1"/>
        <v>Medium</v>
      </c>
      <c r="J20" s="18" t="s">
        <v>147</v>
      </c>
      <c r="K20" s="47" t="s">
        <v>322</v>
      </c>
      <c r="L20" s="60" t="s">
        <v>133</v>
      </c>
      <c r="M20" s="16" t="s">
        <v>23</v>
      </c>
      <c r="N20" s="21" t="s">
        <v>148</v>
      </c>
      <c r="O20" s="22" t="s">
        <v>149</v>
      </c>
      <c r="P20" s="18" t="s">
        <v>150</v>
      </c>
    </row>
    <row r="21" spans="1:16" ht="68.400000000000006" x14ac:dyDescent="0.3">
      <c r="A21" s="9" t="s">
        <v>151</v>
      </c>
      <c r="B21" s="10" t="s">
        <v>152</v>
      </c>
      <c r="C21" s="9" t="s">
        <v>18</v>
      </c>
      <c r="D21" s="11" t="s">
        <v>56</v>
      </c>
      <c r="E21" s="11" t="s">
        <v>153</v>
      </c>
      <c r="F21" s="12">
        <v>2</v>
      </c>
      <c r="G21" s="12">
        <v>4</v>
      </c>
      <c r="H21" s="43">
        <f t="shared" si="0"/>
        <v>8</v>
      </c>
      <c r="I21" s="13" t="str">
        <f t="shared" si="1"/>
        <v>Medium</v>
      </c>
      <c r="J21" s="11" t="s">
        <v>154</v>
      </c>
      <c r="K21" s="57" t="s">
        <v>323</v>
      </c>
      <c r="L21" s="58" t="s">
        <v>59</v>
      </c>
      <c r="M21" s="9" t="s">
        <v>23</v>
      </c>
      <c r="N21" s="14" t="s">
        <v>155</v>
      </c>
      <c r="O21" s="15" t="s">
        <v>156</v>
      </c>
      <c r="P21" s="11" t="s">
        <v>352</v>
      </c>
    </row>
    <row r="22" spans="1:16" ht="57" x14ac:dyDescent="0.3">
      <c r="A22" s="16" t="s">
        <v>157</v>
      </c>
      <c r="B22" s="17" t="s">
        <v>158</v>
      </c>
      <c r="C22" s="16" t="s">
        <v>18</v>
      </c>
      <c r="D22" s="18" t="s">
        <v>159</v>
      </c>
      <c r="E22" s="18" t="s">
        <v>160</v>
      </c>
      <c r="F22" s="19">
        <v>3</v>
      </c>
      <c r="G22" s="19">
        <v>3</v>
      </c>
      <c r="H22" s="44">
        <f t="shared" si="0"/>
        <v>9</v>
      </c>
      <c r="I22" s="20" t="str">
        <f t="shared" si="1"/>
        <v>Medium</v>
      </c>
      <c r="J22" s="18" t="s">
        <v>161</v>
      </c>
      <c r="K22" s="18" t="s">
        <v>162</v>
      </c>
      <c r="L22" s="60" t="s">
        <v>101</v>
      </c>
      <c r="M22" s="16" t="s">
        <v>163</v>
      </c>
      <c r="N22" s="21" t="s">
        <v>164</v>
      </c>
      <c r="O22" s="22" t="s">
        <v>165</v>
      </c>
      <c r="P22" s="18" t="s">
        <v>166</v>
      </c>
    </row>
    <row r="23" spans="1:16" ht="68.400000000000006" x14ac:dyDescent="0.3">
      <c r="A23" s="9" t="s">
        <v>167</v>
      </c>
      <c r="B23" s="10" t="s">
        <v>168</v>
      </c>
      <c r="C23" s="9" t="s">
        <v>18</v>
      </c>
      <c r="D23" s="11" t="s">
        <v>169</v>
      </c>
      <c r="E23" s="11" t="s">
        <v>170</v>
      </c>
      <c r="F23" s="12">
        <v>3</v>
      </c>
      <c r="G23" s="12">
        <v>3</v>
      </c>
      <c r="H23" s="43">
        <f t="shared" si="0"/>
        <v>9</v>
      </c>
      <c r="I23" s="13" t="str">
        <f t="shared" si="1"/>
        <v>Medium</v>
      </c>
      <c r="J23" s="11" t="s">
        <v>171</v>
      </c>
      <c r="K23" s="11" t="s">
        <v>172</v>
      </c>
      <c r="L23" s="58" t="s">
        <v>59</v>
      </c>
      <c r="M23" s="9" t="s">
        <v>23</v>
      </c>
      <c r="N23" s="14" t="s">
        <v>173</v>
      </c>
      <c r="O23" s="15" t="s">
        <v>174</v>
      </c>
      <c r="P23" s="11" t="s">
        <v>175</v>
      </c>
    </row>
    <row r="24" spans="1:16" ht="79.8" x14ac:dyDescent="0.3">
      <c r="A24" s="16" t="s">
        <v>176</v>
      </c>
      <c r="B24" s="17" t="s">
        <v>177</v>
      </c>
      <c r="C24" s="16" t="s">
        <v>18</v>
      </c>
      <c r="D24" s="18" t="s">
        <v>65</v>
      </c>
      <c r="E24" s="18" t="s">
        <v>178</v>
      </c>
      <c r="F24" s="19">
        <v>3</v>
      </c>
      <c r="G24" s="19">
        <v>4</v>
      </c>
      <c r="H24" s="44">
        <f t="shared" si="0"/>
        <v>12</v>
      </c>
      <c r="I24" s="20" t="str">
        <f t="shared" si="1"/>
        <v>High</v>
      </c>
      <c r="J24" s="18" t="s">
        <v>67</v>
      </c>
      <c r="K24" s="18" t="s">
        <v>179</v>
      </c>
      <c r="L24" s="62" t="s">
        <v>32</v>
      </c>
      <c r="M24" s="16" t="s">
        <v>23</v>
      </c>
      <c r="N24" s="21" t="s">
        <v>180</v>
      </c>
      <c r="O24" s="22" t="s">
        <v>181</v>
      </c>
      <c r="P24" s="18" t="s">
        <v>182</v>
      </c>
    </row>
    <row r="25" spans="1:16" ht="68.400000000000006" x14ac:dyDescent="0.3">
      <c r="A25" s="9" t="s">
        <v>183</v>
      </c>
      <c r="B25" s="10" t="s">
        <v>184</v>
      </c>
      <c r="C25" s="9" t="s">
        <v>185</v>
      </c>
      <c r="D25" s="11" t="s">
        <v>186</v>
      </c>
      <c r="E25" s="11" t="s">
        <v>187</v>
      </c>
      <c r="F25" s="12">
        <v>2</v>
      </c>
      <c r="G25" s="12">
        <v>4</v>
      </c>
      <c r="H25" s="43">
        <f t="shared" si="0"/>
        <v>8</v>
      </c>
      <c r="I25" s="13" t="str">
        <f t="shared" si="1"/>
        <v>Medium</v>
      </c>
      <c r="J25" s="11" t="s">
        <v>188</v>
      </c>
      <c r="K25" s="11" t="s">
        <v>189</v>
      </c>
      <c r="L25" s="61" t="s">
        <v>32</v>
      </c>
      <c r="M25" s="9" t="s">
        <v>23</v>
      </c>
      <c r="N25" s="14" t="s">
        <v>190</v>
      </c>
      <c r="O25" s="15" t="s">
        <v>191</v>
      </c>
      <c r="P25" s="11" t="s">
        <v>192</v>
      </c>
    </row>
    <row r="26" spans="1:16" ht="57" x14ac:dyDescent="0.3">
      <c r="A26" s="16" t="s">
        <v>193</v>
      </c>
      <c r="B26" s="17" t="s">
        <v>194</v>
      </c>
      <c r="C26" s="16" t="s">
        <v>185</v>
      </c>
      <c r="D26" s="18" t="s">
        <v>186</v>
      </c>
      <c r="E26" s="18" t="s">
        <v>195</v>
      </c>
      <c r="F26" s="19">
        <v>2</v>
      </c>
      <c r="G26" s="19">
        <v>3</v>
      </c>
      <c r="H26" s="44">
        <f t="shared" si="0"/>
        <v>6</v>
      </c>
      <c r="I26" s="20" t="str">
        <f t="shared" si="1"/>
        <v>Medium</v>
      </c>
      <c r="J26" s="18" t="s">
        <v>196</v>
      </c>
      <c r="K26" s="18" t="s">
        <v>197</v>
      </c>
      <c r="L26" s="59" t="s">
        <v>32</v>
      </c>
      <c r="M26" s="16" t="s">
        <v>23</v>
      </c>
      <c r="N26" s="21" t="s">
        <v>198</v>
      </c>
      <c r="O26" s="22" t="s">
        <v>199</v>
      </c>
      <c r="P26" s="18" t="s">
        <v>200</v>
      </c>
    </row>
    <row r="27" spans="1:16" ht="57" x14ac:dyDescent="0.3">
      <c r="A27" s="9" t="s">
        <v>201</v>
      </c>
      <c r="B27" s="10" t="s">
        <v>202</v>
      </c>
      <c r="C27" s="9" t="s">
        <v>185</v>
      </c>
      <c r="D27" s="11" t="s">
        <v>203</v>
      </c>
      <c r="E27" s="11" t="s">
        <v>204</v>
      </c>
      <c r="F27" s="12">
        <v>4</v>
      </c>
      <c r="G27" s="12">
        <v>3</v>
      </c>
      <c r="H27" s="43">
        <f t="shared" si="0"/>
        <v>12</v>
      </c>
      <c r="I27" s="13" t="str">
        <f t="shared" si="1"/>
        <v>High</v>
      </c>
      <c r="J27" s="11" t="s">
        <v>205</v>
      </c>
      <c r="K27" s="11" t="s">
        <v>206</v>
      </c>
      <c r="L27" s="61" t="s">
        <v>32</v>
      </c>
      <c r="M27" s="9" t="s">
        <v>23</v>
      </c>
      <c r="N27" s="14" t="s">
        <v>198</v>
      </c>
      <c r="O27" s="15" t="s">
        <v>207</v>
      </c>
      <c r="P27" s="11" t="s">
        <v>353</v>
      </c>
    </row>
    <row r="28" spans="1:16" ht="68.400000000000006" x14ac:dyDescent="0.3">
      <c r="A28" s="16" t="s">
        <v>208</v>
      </c>
      <c r="B28" s="17" t="s">
        <v>209</v>
      </c>
      <c r="C28" s="16" t="s">
        <v>185</v>
      </c>
      <c r="D28" s="18" t="s">
        <v>203</v>
      </c>
      <c r="E28" s="18" t="s">
        <v>210</v>
      </c>
      <c r="F28" s="19">
        <v>3</v>
      </c>
      <c r="G28" s="19">
        <v>3</v>
      </c>
      <c r="H28" s="44">
        <f t="shared" si="0"/>
        <v>9</v>
      </c>
      <c r="I28" s="20" t="str">
        <f t="shared" si="1"/>
        <v>Medium</v>
      </c>
      <c r="J28" s="18" t="s">
        <v>188</v>
      </c>
      <c r="K28" s="18" t="s">
        <v>211</v>
      </c>
      <c r="L28" s="59" t="s">
        <v>32</v>
      </c>
      <c r="M28" s="16" t="s">
        <v>23</v>
      </c>
      <c r="N28" s="21" t="s">
        <v>198</v>
      </c>
      <c r="O28" s="22" t="s">
        <v>212</v>
      </c>
      <c r="P28" s="18" t="s">
        <v>213</v>
      </c>
    </row>
    <row r="29" spans="1:16" ht="57" x14ac:dyDescent="0.3">
      <c r="A29" s="9" t="s">
        <v>214</v>
      </c>
      <c r="B29" s="10" t="s">
        <v>215</v>
      </c>
      <c r="C29" s="9" t="s">
        <v>185</v>
      </c>
      <c r="D29" s="11" t="s">
        <v>203</v>
      </c>
      <c r="E29" s="11" t="s">
        <v>216</v>
      </c>
      <c r="F29" s="12">
        <v>3</v>
      </c>
      <c r="G29" s="12">
        <v>3</v>
      </c>
      <c r="H29" s="43">
        <f t="shared" si="0"/>
        <v>9</v>
      </c>
      <c r="I29" s="13" t="str">
        <f t="shared" si="1"/>
        <v>Medium</v>
      </c>
      <c r="J29" s="11" t="s">
        <v>188</v>
      </c>
      <c r="K29" s="11" t="s">
        <v>217</v>
      </c>
      <c r="L29" s="61" t="s">
        <v>32</v>
      </c>
      <c r="M29" s="9" t="s">
        <v>23</v>
      </c>
      <c r="N29" s="14" t="s">
        <v>198</v>
      </c>
      <c r="O29" s="15" t="s">
        <v>218</v>
      </c>
      <c r="P29" s="11" t="s">
        <v>219</v>
      </c>
    </row>
    <row r="30" spans="1:16" ht="68.400000000000006" x14ac:dyDescent="0.3">
      <c r="A30" s="16" t="s">
        <v>220</v>
      </c>
      <c r="B30" s="17" t="s">
        <v>221</v>
      </c>
      <c r="C30" s="16" t="s">
        <v>185</v>
      </c>
      <c r="D30" s="18" t="s">
        <v>222</v>
      </c>
      <c r="E30" s="18" t="s">
        <v>223</v>
      </c>
      <c r="F30" s="19">
        <v>2</v>
      </c>
      <c r="G30" s="19">
        <v>4</v>
      </c>
      <c r="H30" s="44">
        <f t="shared" si="0"/>
        <v>8</v>
      </c>
      <c r="I30" s="20" t="str">
        <f t="shared" si="1"/>
        <v>Medium</v>
      </c>
      <c r="J30" s="18" t="s">
        <v>188</v>
      </c>
      <c r="K30" s="18" t="s">
        <v>224</v>
      </c>
      <c r="L30" s="59" t="s">
        <v>32</v>
      </c>
      <c r="M30" s="16" t="s">
        <v>23</v>
      </c>
      <c r="N30" s="21" t="s">
        <v>225</v>
      </c>
      <c r="O30" s="22" t="s">
        <v>226</v>
      </c>
      <c r="P30" s="18" t="s">
        <v>227</v>
      </c>
    </row>
  </sheetData>
  <autoFilter ref="A4:P30" xr:uid="{00000000-0009-0000-0000-000000000000}"/>
  <mergeCells count="2">
    <mergeCell ref="A1:P1"/>
    <mergeCell ref="A2:P2"/>
  </mergeCells>
  <conditionalFormatting sqref="H5:H30">
    <cfRule type="colorScale" priority="6">
      <colorScale>
        <cfvo type="min"/>
        <cfvo type="percentile" val="50"/>
        <cfvo type="max"/>
        <color rgb="FF70AD47"/>
        <color rgb="FFFFEB84"/>
        <color rgb="FFC00000"/>
      </colorScale>
    </cfRule>
  </conditionalFormatting>
  <conditionalFormatting sqref="I5:I30">
    <cfRule type="expression" dxfId="3" priority="2">
      <formula>I5="Critical"</formula>
    </cfRule>
    <cfRule type="expression" dxfId="2" priority="3">
      <formula>I5="High"</formula>
    </cfRule>
    <cfRule type="expression" dxfId="1" priority="4">
      <formula>I5="Medium"</formula>
    </cfRule>
    <cfRule type="expression" dxfId="0" priority="5">
      <formula>I5="Low"</formula>
    </cfRule>
  </conditionalFormatting>
  <hyperlinks>
    <hyperlink ref="L5" r:id="rId1" xr:uid="{00000000-0004-0000-0000-000000000000}"/>
    <hyperlink ref="L7" r:id="rId2" xr:uid="{00000000-0004-0000-0000-000001000000}"/>
    <hyperlink ref="L8" r:id="rId3" xr:uid="{00000000-0004-0000-0000-000002000000}"/>
    <hyperlink ref="L9" r:id="rId4" xr:uid="{00000000-0004-0000-0000-000003000000}"/>
    <hyperlink ref="L11" r:id="rId5" xr:uid="{00000000-0004-0000-0000-000005000000}"/>
    <hyperlink ref="L12" r:id="rId6" xr:uid="{00000000-0004-0000-0000-000006000000}"/>
    <hyperlink ref="L14" r:id="rId7" xr:uid="{00000000-0004-0000-0000-000007000000}"/>
    <hyperlink ref="L15" r:id="rId8" xr:uid="{00000000-0004-0000-0000-000008000000}"/>
    <hyperlink ref="L16" r:id="rId9" xr:uid="{00000000-0004-0000-0000-000009000000}"/>
    <hyperlink ref="L17" r:id="rId10" xr:uid="{00000000-0004-0000-0000-00000A000000}"/>
    <hyperlink ref="L18" r:id="rId11" xr:uid="{00000000-0004-0000-0000-00000B000000}"/>
    <hyperlink ref="L19" r:id="rId12" xr:uid="{00000000-0004-0000-0000-00000C000000}"/>
    <hyperlink ref="L20" r:id="rId13" xr:uid="{00000000-0004-0000-0000-00000D000000}"/>
    <hyperlink ref="L21" r:id="rId14" xr:uid="{00000000-0004-0000-0000-00000E000000}"/>
    <hyperlink ref="L22" r:id="rId15" xr:uid="{00000000-0004-0000-0000-00000F000000}"/>
    <hyperlink ref="L23" r:id="rId16" xr:uid="{00000000-0004-0000-0000-000010000000}"/>
    <hyperlink ref="L6" r:id="rId17" xr:uid="{82ED16D9-F0C3-4BE1-8D95-F55D0A3609B5}"/>
    <hyperlink ref="L10" r:id="rId18" xr:uid="{6AABD351-1057-4B43-9708-8E4F4507F488}"/>
    <hyperlink ref="L13" r:id="rId19" xr:uid="{BA204551-B1D4-4EA6-9CEB-D47424BED039}"/>
    <hyperlink ref="L24" r:id="rId20" xr:uid="{501882FA-8888-40EA-9F47-22463671DDC8}"/>
    <hyperlink ref="L25" r:id="rId21" xr:uid="{632C02D6-1501-4B7B-8106-00A7130FFE1E}"/>
    <hyperlink ref="L26" r:id="rId22" xr:uid="{14CBC5A7-A019-4EAA-952C-625B28E9241F}"/>
    <hyperlink ref="L27" r:id="rId23" xr:uid="{846F6792-463D-4C54-8F2B-040043BDAF04}"/>
    <hyperlink ref="L28" r:id="rId24" xr:uid="{41BB6D63-2719-4A95-BA34-E52A0A5754FE}"/>
    <hyperlink ref="L29" r:id="rId25" xr:uid="{9E55BC42-B738-4CA8-BF18-178E4A9ED108}"/>
    <hyperlink ref="L30" r:id="rId26" xr:uid="{B039164B-0073-4BE2-972A-AA19340C69DC}"/>
  </hyperlink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0"/>
  <sheetViews>
    <sheetView showGridLines="0" topLeftCell="A14" zoomScaleNormal="100" workbookViewId="0">
      <selection activeCell="D24" sqref="D24"/>
    </sheetView>
  </sheetViews>
  <sheetFormatPr defaultColWidth="8.6640625" defaultRowHeight="14.4" x14ac:dyDescent="0.3"/>
  <cols>
    <col min="1" max="1" width="10" customWidth="1"/>
    <col min="2" max="2" width="13.77734375" bestFit="1" customWidth="1"/>
    <col min="3" max="3" width="38" customWidth="1"/>
    <col min="4" max="4" width="44" customWidth="1"/>
    <col min="5" max="5" width="36" customWidth="1"/>
  </cols>
  <sheetData>
    <row r="1" spans="1:5" ht="27.75" customHeight="1" x14ac:dyDescent="0.3">
      <c r="A1" s="50" t="s">
        <v>310</v>
      </c>
      <c r="B1" s="50"/>
      <c r="C1" s="50"/>
      <c r="D1" s="50"/>
      <c r="E1" s="85"/>
    </row>
    <row r="2" spans="1:5" ht="39.75" customHeight="1" x14ac:dyDescent="0.3">
      <c r="A2" s="54" t="s">
        <v>311</v>
      </c>
      <c r="B2" s="54"/>
      <c r="C2" s="54"/>
      <c r="D2" s="54"/>
      <c r="E2" s="86"/>
    </row>
    <row r="3" spans="1:5" ht="7.5" customHeight="1" x14ac:dyDescent="0.3"/>
    <row r="4" spans="1:5" ht="21.75" customHeight="1" x14ac:dyDescent="0.3">
      <c r="A4" s="5" t="s">
        <v>228</v>
      </c>
      <c r="B4" s="78"/>
      <c r="C4" s="78"/>
      <c r="D4" s="94"/>
      <c r="E4" s="80"/>
    </row>
    <row r="5" spans="1:5" ht="21.75" customHeight="1" x14ac:dyDescent="0.3">
      <c r="A5" s="23" t="s">
        <v>229</v>
      </c>
      <c r="B5" s="23" t="s">
        <v>230</v>
      </c>
      <c r="C5" s="23" t="s">
        <v>231</v>
      </c>
      <c r="D5" s="91" t="s">
        <v>312</v>
      </c>
      <c r="E5" s="81"/>
    </row>
    <row r="6" spans="1:5" ht="31.5" customHeight="1" x14ac:dyDescent="0.3">
      <c r="A6" s="24">
        <v>1</v>
      </c>
      <c r="B6" s="10" t="s">
        <v>232</v>
      </c>
      <c r="C6" s="11" t="s">
        <v>233</v>
      </c>
      <c r="D6" s="92" t="s">
        <v>234</v>
      </c>
      <c r="E6" s="82"/>
    </row>
    <row r="7" spans="1:5" ht="31.5" customHeight="1" x14ac:dyDescent="0.3">
      <c r="A7" s="25">
        <v>2</v>
      </c>
      <c r="B7" s="17" t="s">
        <v>235</v>
      </c>
      <c r="C7" s="18" t="s">
        <v>236</v>
      </c>
      <c r="D7" s="93" t="s">
        <v>237</v>
      </c>
      <c r="E7" s="82"/>
    </row>
    <row r="8" spans="1:5" ht="31.5" customHeight="1" x14ac:dyDescent="0.3">
      <c r="A8" s="24">
        <v>3</v>
      </c>
      <c r="B8" s="10" t="s">
        <v>252</v>
      </c>
      <c r="C8" s="11" t="s">
        <v>238</v>
      </c>
      <c r="D8" s="92" t="s">
        <v>239</v>
      </c>
      <c r="E8" s="82"/>
    </row>
    <row r="9" spans="1:5" ht="31.5" customHeight="1" x14ac:dyDescent="0.3">
      <c r="A9" s="25">
        <v>4</v>
      </c>
      <c r="B9" s="17" t="s">
        <v>240</v>
      </c>
      <c r="C9" s="18" t="s">
        <v>241</v>
      </c>
      <c r="D9" s="79" t="s">
        <v>242</v>
      </c>
      <c r="E9" s="97"/>
    </row>
    <row r="10" spans="1:5" ht="31.5" customHeight="1" x14ac:dyDescent="0.3">
      <c r="A10" s="24">
        <v>5</v>
      </c>
      <c r="B10" s="10" t="s">
        <v>243</v>
      </c>
      <c r="C10" s="11" t="s">
        <v>300</v>
      </c>
      <c r="D10" s="92" t="s">
        <v>244</v>
      </c>
      <c r="E10" s="82"/>
    </row>
    <row r="11" spans="1:5" ht="9.75" customHeight="1" x14ac:dyDescent="0.3">
      <c r="D11" s="95"/>
      <c r="E11" s="83"/>
    </row>
    <row r="12" spans="1:5" ht="21.75" customHeight="1" x14ac:dyDescent="0.3">
      <c r="A12" s="5" t="s">
        <v>245</v>
      </c>
      <c r="B12" s="78"/>
      <c r="C12" s="78"/>
      <c r="D12" s="78"/>
      <c r="E12" s="80"/>
    </row>
    <row r="13" spans="1:5" ht="21.75" customHeight="1" x14ac:dyDescent="0.3">
      <c r="A13" s="23" t="s">
        <v>229</v>
      </c>
      <c r="B13" s="23" t="s">
        <v>230</v>
      </c>
      <c r="C13" s="23" t="s">
        <v>231</v>
      </c>
      <c r="D13" s="91" t="s">
        <v>312</v>
      </c>
      <c r="E13" s="81"/>
    </row>
    <row r="14" spans="1:5" ht="31.5" customHeight="1" x14ac:dyDescent="0.3">
      <c r="A14" s="24">
        <v>1</v>
      </c>
      <c r="B14" s="10" t="s">
        <v>246</v>
      </c>
      <c r="C14" s="57" t="s">
        <v>247</v>
      </c>
      <c r="D14" s="92" t="s">
        <v>248</v>
      </c>
      <c r="E14" s="82"/>
    </row>
    <row r="15" spans="1:5" ht="31.5" customHeight="1" x14ac:dyDescent="0.3">
      <c r="A15" s="25">
        <v>2</v>
      </c>
      <c r="B15" s="17" t="s">
        <v>249</v>
      </c>
      <c r="C15" s="18" t="s">
        <v>250</v>
      </c>
      <c r="D15" s="93" t="s">
        <v>251</v>
      </c>
      <c r="E15" s="82"/>
    </row>
    <row r="16" spans="1:5" ht="31.5" customHeight="1" x14ac:dyDescent="0.3">
      <c r="A16" s="24">
        <v>3</v>
      </c>
      <c r="B16" s="10" t="s">
        <v>255</v>
      </c>
      <c r="C16" s="11" t="s">
        <v>253</v>
      </c>
      <c r="D16" s="92" t="s">
        <v>254</v>
      </c>
      <c r="E16" s="82"/>
    </row>
    <row r="17" spans="1:5" ht="31.5" customHeight="1" x14ac:dyDescent="0.3">
      <c r="A17" s="25">
        <v>4</v>
      </c>
      <c r="B17" s="17" t="s">
        <v>301</v>
      </c>
      <c r="C17" s="18" t="s">
        <v>256</v>
      </c>
      <c r="D17" s="93" t="s">
        <v>257</v>
      </c>
      <c r="E17" s="82"/>
    </row>
    <row r="18" spans="1:5" ht="31.5" customHeight="1" x14ac:dyDescent="0.3">
      <c r="A18" s="24">
        <v>5</v>
      </c>
      <c r="B18" s="10" t="s">
        <v>302</v>
      </c>
      <c r="C18" s="11" t="s">
        <v>258</v>
      </c>
      <c r="D18" s="92" t="s">
        <v>259</v>
      </c>
      <c r="E18" s="82"/>
    </row>
    <row r="19" spans="1:5" ht="9.75" customHeight="1" x14ac:dyDescent="0.3">
      <c r="D19" s="96"/>
      <c r="E19" s="83"/>
    </row>
    <row r="20" spans="1:5" ht="21.75" customHeight="1" x14ac:dyDescent="0.3">
      <c r="A20" s="5" t="s">
        <v>260</v>
      </c>
      <c r="B20" s="78"/>
      <c r="C20" s="78"/>
      <c r="D20" s="78"/>
      <c r="E20" s="80"/>
    </row>
    <row r="21" spans="1:5" ht="21.75" customHeight="1" x14ac:dyDescent="0.3">
      <c r="A21" s="23" t="s">
        <v>261</v>
      </c>
      <c r="B21" s="23" t="s">
        <v>262</v>
      </c>
      <c r="C21" s="49" t="s">
        <v>308</v>
      </c>
      <c r="D21" s="87" t="s">
        <v>263</v>
      </c>
      <c r="E21" s="81"/>
    </row>
    <row r="22" spans="1:5" ht="31.5" customHeight="1" x14ac:dyDescent="0.3">
      <c r="A22" s="26" t="s">
        <v>264</v>
      </c>
      <c r="B22" s="25" t="s">
        <v>265</v>
      </c>
      <c r="C22" s="48" t="s">
        <v>304</v>
      </c>
      <c r="D22" s="88" t="s">
        <v>266</v>
      </c>
      <c r="E22" s="82"/>
    </row>
    <row r="23" spans="1:5" ht="31.5" customHeight="1" x14ac:dyDescent="0.3">
      <c r="A23" s="27" t="s">
        <v>267</v>
      </c>
      <c r="B23" s="25" t="s">
        <v>268</v>
      </c>
      <c r="C23" s="48" t="s">
        <v>305</v>
      </c>
      <c r="D23" s="88" t="s">
        <v>269</v>
      </c>
      <c r="E23" s="82"/>
    </row>
    <row r="24" spans="1:5" ht="31.5" customHeight="1" x14ac:dyDescent="0.3">
      <c r="A24" s="28" t="s">
        <v>270</v>
      </c>
      <c r="B24" s="25" t="s">
        <v>271</v>
      </c>
      <c r="C24" s="48" t="s">
        <v>306</v>
      </c>
      <c r="D24" s="88" t="s">
        <v>272</v>
      </c>
      <c r="E24" s="82"/>
    </row>
    <row r="25" spans="1:5" ht="31.5" customHeight="1" x14ac:dyDescent="0.3">
      <c r="A25" s="29" t="s">
        <v>273</v>
      </c>
      <c r="B25" s="25" t="s">
        <v>274</v>
      </c>
      <c r="C25" s="48" t="s">
        <v>307</v>
      </c>
      <c r="D25" s="90" t="s">
        <v>345</v>
      </c>
      <c r="E25" s="82"/>
    </row>
    <row r="26" spans="1:5" ht="9.75" customHeight="1" x14ac:dyDescent="0.3">
      <c r="D26" s="96"/>
      <c r="E26" s="83"/>
    </row>
    <row r="27" spans="1:5" ht="21.75" customHeight="1" x14ac:dyDescent="0.3">
      <c r="A27" s="5" t="s">
        <v>275</v>
      </c>
      <c r="B27" s="78"/>
      <c r="C27" s="78"/>
      <c r="D27" s="78"/>
      <c r="E27" s="80"/>
    </row>
    <row r="28" spans="1:5" ht="21.75" customHeight="1" x14ac:dyDescent="0.3">
      <c r="A28" s="23" t="s">
        <v>276</v>
      </c>
      <c r="B28" s="23" t="s">
        <v>231</v>
      </c>
      <c r="C28" s="23" t="s">
        <v>277</v>
      </c>
      <c r="D28" s="87" t="s">
        <v>278</v>
      </c>
      <c r="E28" s="81"/>
    </row>
    <row r="29" spans="1:5" ht="79.8" x14ac:dyDescent="0.3">
      <c r="A29" s="45" t="s">
        <v>303</v>
      </c>
      <c r="B29" s="47" t="s">
        <v>309</v>
      </c>
      <c r="C29" s="18" t="s">
        <v>280</v>
      </c>
      <c r="D29" s="88" t="s">
        <v>281</v>
      </c>
      <c r="E29" s="84"/>
    </row>
    <row r="30" spans="1:5" ht="57" x14ac:dyDescent="0.3">
      <c r="A30" s="46" t="s">
        <v>279</v>
      </c>
      <c r="B30" s="57" t="s">
        <v>324</v>
      </c>
      <c r="C30" s="11" t="s">
        <v>282</v>
      </c>
      <c r="D30" s="89" t="s">
        <v>283</v>
      </c>
      <c r="E30" s="84"/>
    </row>
  </sheetData>
  <mergeCells count="6">
    <mergeCell ref="A27:D27"/>
    <mergeCell ref="A20:D20"/>
    <mergeCell ref="A12:D12"/>
    <mergeCell ref="A4:D4"/>
    <mergeCell ref="A1:D1"/>
    <mergeCell ref="A2:D2"/>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6"/>
  <sheetViews>
    <sheetView showGridLines="0" zoomScaleNormal="100" workbookViewId="0">
      <selection activeCell="D10" sqref="D10"/>
    </sheetView>
  </sheetViews>
  <sheetFormatPr defaultColWidth="8.6640625" defaultRowHeight="14.4" x14ac:dyDescent="0.3"/>
  <cols>
    <col min="1" max="1" width="28" customWidth="1"/>
    <col min="2" max="3" width="14" customWidth="1"/>
    <col min="4" max="4" width="20" customWidth="1"/>
    <col min="5" max="5" width="38.21875" bestFit="1" customWidth="1"/>
  </cols>
  <sheetData>
    <row r="1" spans="1:5" ht="30" customHeight="1" x14ac:dyDescent="0.3">
      <c r="A1" s="55" t="s">
        <v>317</v>
      </c>
      <c r="B1" s="4"/>
      <c r="C1" s="4"/>
      <c r="D1" s="4"/>
      <c r="E1" s="4"/>
    </row>
    <row r="2" spans="1:5" ht="25.8" customHeight="1" x14ac:dyDescent="0.3">
      <c r="A2" s="54" t="s">
        <v>325</v>
      </c>
      <c r="B2" s="53"/>
      <c r="C2" s="53"/>
      <c r="D2" s="53"/>
      <c r="E2" s="53"/>
    </row>
    <row r="3" spans="1:5" ht="7.5" customHeight="1" x14ac:dyDescent="0.3"/>
    <row r="4" spans="1:5" ht="25.5" customHeight="1" x14ac:dyDescent="0.3">
      <c r="A4" s="3" t="s">
        <v>284</v>
      </c>
      <c r="B4" s="3"/>
      <c r="C4" s="3"/>
      <c r="D4" s="3"/>
      <c r="E4" s="3"/>
    </row>
    <row r="5" spans="1:5" ht="21.75" customHeight="1" x14ac:dyDescent="0.3">
      <c r="A5" s="23" t="s">
        <v>285</v>
      </c>
      <c r="B5" s="23" t="s">
        <v>286</v>
      </c>
      <c r="C5" s="23" t="s">
        <v>287</v>
      </c>
      <c r="D5" s="23" t="s">
        <v>262</v>
      </c>
      <c r="E5" s="23" t="s">
        <v>288</v>
      </c>
    </row>
    <row r="6" spans="1:5" ht="21.75" customHeight="1" x14ac:dyDescent="0.3">
      <c r="A6" s="26" t="s">
        <v>264</v>
      </c>
      <c r="B6" s="30">
        <f>COUNTIF('Risk Register'!I5:I31,"Critical")</f>
        <v>2</v>
      </c>
      <c r="C6" s="31">
        <f>B6/B10</f>
        <v>7.6923076923076927E-2</v>
      </c>
      <c r="D6" s="30" t="s">
        <v>289</v>
      </c>
      <c r="E6" s="32" t="s">
        <v>290</v>
      </c>
    </row>
    <row r="7" spans="1:5" ht="21.75" customHeight="1" x14ac:dyDescent="0.3">
      <c r="A7" s="27" t="s">
        <v>267</v>
      </c>
      <c r="B7" s="33">
        <f>COUNTIF('Risk Register'!I5:I31,"High")</f>
        <v>8</v>
      </c>
      <c r="C7" s="34">
        <f>B7/B10</f>
        <v>0.30769230769230771</v>
      </c>
      <c r="D7" s="33" t="s">
        <v>291</v>
      </c>
      <c r="E7" s="35" t="s">
        <v>292</v>
      </c>
    </row>
    <row r="8" spans="1:5" ht="21.75" customHeight="1" x14ac:dyDescent="0.3">
      <c r="A8" s="28" t="s">
        <v>270</v>
      </c>
      <c r="B8" s="36">
        <f>COUNTIF('Risk Register'!I5:I31,"Medium")</f>
        <v>16</v>
      </c>
      <c r="C8" s="37">
        <f>B8/B10</f>
        <v>0.61538461538461542</v>
      </c>
      <c r="D8" s="36" t="s">
        <v>293</v>
      </c>
      <c r="E8" s="38" t="s">
        <v>294</v>
      </c>
    </row>
    <row r="9" spans="1:5" ht="21.75" customHeight="1" x14ac:dyDescent="0.3">
      <c r="A9" s="29" t="s">
        <v>273</v>
      </c>
      <c r="B9" s="39">
        <f>COUNTIF('Risk Register'!I5:I31,"Low")</f>
        <v>0</v>
      </c>
      <c r="C9" s="40">
        <f>B9/B10</f>
        <v>0</v>
      </c>
      <c r="D9" s="39" t="s">
        <v>295</v>
      </c>
      <c r="E9" s="56" t="s">
        <v>318</v>
      </c>
    </row>
    <row r="10" spans="1:5" ht="21.75" customHeight="1" x14ac:dyDescent="0.3">
      <c r="A10" s="23" t="s">
        <v>296</v>
      </c>
      <c r="B10" s="41">
        <f>SUM(B6:B9)</f>
        <v>26</v>
      </c>
      <c r="C10" s="98">
        <f>SUM(C6:C9)</f>
        <v>1</v>
      </c>
      <c r="D10" s="41" t="s">
        <v>297</v>
      </c>
      <c r="E10" s="42" t="s">
        <v>298</v>
      </c>
    </row>
    <row r="11" spans="1:5" ht="9.75" customHeight="1" x14ac:dyDescent="0.3"/>
    <row r="12" spans="1:5" ht="25.5" customHeight="1" x14ac:dyDescent="0.3">
      <c r="A12" s="3" t="s">
        <v>299</v>
      </c>
      <c r="B12" s="3"/>
      <c r="C12" s="3"/>
      <c r="D12" s="3"/>
      <c r="E12" s="3"/>
    </row>
    <row r="13" spans="1:5" ht="43.5" customHeight="1" x14ac:dyDescent="0.3">
      <c r="A13" s="51" t="s">
        <v>313</v>
      </c>
      <c r="B13" s="2"/>
      <c r="C13" s="2"/>
      <c r="D13" s="2"/>
      <c r="E13" s="2"/>
    </row>
    <row r="14" spans="1:5" ht="43.5" customHeight="1" x14ac:dyDescent="0.3">
      <c r="A14" s="51" t="s">
        <v>314</v>
      </c>
      <c r="B14" s="2"/>
      <c r="C14" s="2"/>
      <c r="D14" s="2"/>
      <c r="E14" s="2"/>
    </row>
    <row r="15" spans="1:5" ht="43.5" customHeight="1" x14ac:dyDescent="0.3">
      <c r="A15" s="52" t="s">
        <v>315</v>
      </c>
      <c r="B15" s="1"/>
      <c r="C15" s="1"/>
      <c r="D15" s="1"/>
      <c r="E15" s="1"/>
    </row>
    <row r="16" spans="1:5" ht="43.5" customHeight="1" x14ac:dyDescent="0.3">
      <c r="A16" s="51" t="s">
        <v>316</v>
      </c>
      <c r="B16" s="2"/>
      <c r="C16" s="2"/>
      <c r="D16" s="2"/>
      <c r="E16" s="2"/>
    </row>
  </sheetData>
  <mergeCells count="8">
    <mergeCell ref="A14:E14"/>
    <mergeCell ref="A15:E15"/>
    <mergeCell ref="A16:E16"/>
    <mergeCell ref="A1:E1"/>
    <mergeCell ref="A2:E2"/>
    <mergeCell ref="A4:E4"/>
    <mergeCell ref="A12:E12"/>
    <mergeCell ref="A13:E13"/>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Risk Register</vt:lpstr>
      <vt:lpstr>Scoring Legend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Adriana Valeria Bernaola Cuenca</cp:lastModifiedBy>
  <cp:revision>0</cp:revision>
  <dcterms:created xsi:type="dcterms:W3CDTF">2026-04-21T18:53:50Z</dcterms:created>
  <dcterms:modified xsi:type="dcterms:W3CDTF">2026-04-22T22:05:36Z</dcterms:modified>
  <dc:language>en-US</dc:language>
</cp:coreProperties>
</file>